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AhE4eqM8c6mfTdaitS_hpQkb28vUXOO8\4. PRECIOS TRANSFERENCIA\AÑO 2025\End Game\"/>
    </mc:Choice>
  </mc:AlternateContent>
  <xr:revisionPtr revIDLastSave="0" documentId="8_{A95A0667-56C6-437D-B01F-137B6C2A67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p. Vinculados Economicos" sheetId="1" r:id="rId1"/>
    <sheet name="Op. Prestamos Vinculados Econom" sheetId="3" r:id="rId2"/>
    <sheet name="Op. Paraisos Fiscales" sheetId="5" r:id="rId3"/>
    <sheet name="Op. Prestamos Paraisos Fiscales" sheetId="6" r:id="rId4"/>
    <sheet name="Encuesta país por país" sheetId="4" r:id="rId5"/>
    <sheet name="Listado Paraisos" sheetId="7" r:id="rId6"/>
    <sheet name="SEGMENTACION OPERACIONES" sheetId="2" state="hidden" r:id="rId7"/>
  </sheets>
  <definedNames>
    <definedName name="_xlnm._FilterDatabase" localSheetId="2" hidden="1">'Op. Paraisos Fiscales'!$B$32:$L$33</definedName>
    <definedName name="_xlnm._FilterDatabase" localSheetId="0" hidden="1">'Op. Vinculados Economicos'!$A$23:$IW$24</definedName>
    <definedName name="_xlnm.Print_Area" localSheetId="2">'Op. Paraisos Fiscales'!$A$1:$M$144</definedName>
    <definedName name="_xlnm.Print_Area" localSheetId="0">'Op. Vinculados Economicos'!$A$1:$M$101</definedName>
    <definedName name="CIQWBGuid" hidden="1">"ad2f68ae-e671-4c75-aee8-ef144f482dd6"</definedName>
    <definedName name="CIQWBInfo" hidden="1">"{ ""CIQVersion"":""9.53.6531.4508""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"06/23/2026 14:23:33"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</workbook>
</file>

<file path=xl/calcChain.xml><?xml version="1.0" encoding="utf-8"?>
<calcChain xmlns="http://schemas.openxmlformats.org/spreadsheetml/2006/main">
  <c r="J10" i="2" l="1"/>
  <c r="B11" i="2"/>
  <c r="D11" i="2"/>
  <c r="F11" i="2"/>
  <c r="H11" i="2"/>
  <c r="J11" i="2" s="1"/>
  <c r="J13" i="2"/>
  <c r="B14" i="2"/>
  <c r="J14" i="2" s="1"/>
  <c r="D14" i="2"/>
  <c r="D15" i="2"/>
  <c r="F15" i="2"/>
  <c r="H15" i="2"/>
  <c r="J16" i="2"/>
  <c r="J17" i="2"/>
  <c r="B18" i="2"/>
  <c r="D18" i="2"/>
  <c r="D19" i="2" s="1"/>
  <c r="D23" i="2" s="1"/>
  <c r="F18" i="2"/>
  <c r="H18" i="2"/>
  <c r="J18" i="2"/>
  <c r="F19" i="2"/>
  <c r="H19" i="2"/>
  <c r="H23" i="2" s="1"/>
  <c r="D22" i="2"/>
  <c r="F22" i="2"/>
  <c r="H22" i="2"/>
  <c r="F23" i="2"/>
  <c r="L72" i="5"/>
  <c r="L29" i="1"/>
  <c r="B15" i="2" l="1"/>
  <c r="B22" i="2" l="1"/>
  <c r="J15" i="2"/>
  <c r="J22" i="2" s="1"/>
  <c r="B19" i="2"/>
  <c r="B23" i="2" l="1"/>
  <c r="J19" i="2"/>
  <c r="J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Xiomara Tarazona</author>
  </authors>
  <commentList>
    <comment ref="B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CR FINANCIAL: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Registrar las operaciones de ingreso, costo y gasto realizadas con terceros independientes es decir con no vinculados economicos.</t>
        </r>
      </text>
    </comment>
    <comment ref="D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CR FINANCIAL: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Registrar los ingresos, costos y gastos atribuibles a las operaciones realizadas con no vinculados economicos.</t>
        </r>
      </text>
    </comment>
    <comment ref="J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 xml:space="preserve">CR FINANCIAL:
</t>
        </r>
        <r>
          <rPr>
            <sz val="9"/>
            <color indexed="81"/>
            <rFont val="Tahoma"/>
            <family val="2"/>
          </rPr>
          <t xml:space="preserve">
La suma de las ingresos, costos y gastos debe coincidir con los evidenciados en los Estados financieros firmados a 31 de Diciembre de 2015.</t>
        </r>
      </text>
    </comment>
  </commentList>
</comments>
</file>

<file path=xl/sharedStrings.xml><?xml version="1.0" encoding="utf-8"?>
<sst xmlns="http://schemas.openxmlformats.org/spreadsheetml/2006/main" count="395" uniqueCount="177">
  <si>
    <t>Netos por venta de inventarios no producidos</t>
  </si>
  <si>
    <t>Servicios administrativos</t>
  </si>
  <si>
    <t>Seguros y reaseguros</t>
  </si>
  <si>
    <t>Comisiones</t>
  </si>
  <si>
    <t>Honorarios</t>
  </si>
  <si>
    <t>Regalías</t>
  </si>
  <si>
    <t>Publicidad</t>
  </si>
  <si>
    <t>Asistencia técnica</t>
  </si>
  <si>
    <t>Servicios técnicos</t>
  </si>
  <si>
    <t>Prestación de otros servicios financieros</t>
  </si>
  <si>
    <t>Arrendamientos</t>
  </si>
  <si>
    <t>Otros ingresos</t>
  </si>
  <si>
    <t xml:space="preserve">2. Operaciones de egreso (costos y deducciones) </t>
  </si>
  <si>
    <t>Compra neta de inventarios para producción</t>
  </si>
  <si>
    <t>Compra neta de inventarios para distribución</t>
  </si>
  <si>
    <t>Compra de acciones (inventario)</t>
  </si>
  <si>
    <t>Garantías</t>
  </si>
  <si>
    <t>Compra de acciones y aportes (activo fijo)</t>
  </si>
  <si>
    <t>Otras Inversiones</t>
  </si>
  <si>
    <t>Compra de activos fijos no depreciables</t>
  </si>
  <si>
    <t>Otros egresos</t>
  </si>
  <si>
    <t>Tipos de Operacion según DIAN</t>
  </si>
  <si>
    <t xml:space="preserve">1. Operaciones de ingreso </t>
  </si>
  <si>
    <t>Otras inversiones</t>
  </si>
  <si>
    <t>Cod</t>
  </si>
  <si>
    <t>País de origen</t>
  </si>
  <si>
    <t>Número de Identificación fiscal del país de origen</t>
  </si>
  <si>
    <t>Tipo de operación*</t>
  </si>
  <si>
    <t>Vinculado (razón social)</t>
  </si>
  <si>
    <t>OPERACIONES DE INGRESO</t>
  </si>
  <si>
    <t>OPERACIONES DE EGRESO</t>
  </si>
  <si>
    <t xml:space="preserve">Formato </t>
  </si>
  <si>
    <t>Concepto</t>
  </si>
  <si>
    <t>** Las operaciones de ingreso deben cruzar con los datos reportados en el formato 1007</t>
  </si>
  <si>
    <t>*** Las operaciones de egreso deben cruzar con los datos reportados en el formato 1001</t>
  </si>
  <si>
    <t>Nombre de la Compañía</t>
  </si>
  <si>
    <t>Concordancia con Medios Magnéticos Nacionales</t>
  </si>
  <si>
    <t>Monto operación                                   (valor en pesos)**</t>
  </si>
  <si>
    <t>Monto operación                       (valor en pesos)***</t>
  </si>
  <si>
    <t xml:space="preserve">Recibidos o abonados en cuenta por concepto de: </t>
  </si>
  <si>
    <t>Pago o abono en cuenta por concepto de:</t>
  </si>
  <si>
    <t>Netos por venla de inventarios producidos</t>
  </si>
  <si>
    <t>Servicios intermedios de la producción -maquila</t>
  </si>
  <si>
    <t>Otros servicios</t>
  </si>
  <si>
    <t>Ingresos por Derivados Financieros</t>
  </si>
  <si>
    <t>Egresos por Derivados financieros</t>
  </si>
  <si>
    <t>Intereses sobre préstamos</t>
  </si>
  <si>
    <t>Arrendamientos financieros</t>
  </si>
  <si>
    <t>Enajenación de acciones (inventario)</t>
  </si>
  <si>
    <t>Enajenación de acciones y aportes (activo fijo)</t>
  </si>
  <si>
    <t>Venta de cartera</t>
  </si>
  <si>
    <t>Venta de activos fijos no depreciables</t>
  </si>
  <si>
    <t>Venta de activos fijos depreciables, amortizables y agotables</t>
  </si>
  <si>
    <t>Compra de activos fijos depreciables, amortizables y agotables</t>
  </si>
  <si>
    <t>Venta de intangibles o derechos tales como patente; know-how, marcas, entre otros</t>
  </si>
  <si>
    <t>Compra de intangibles o derechos tales como patentes, know-how, marcas, entre otros</t>
  </si>
  <si>
    <t>Cesión de intangibles, derechos u obligaciones</t>
  </si>
  <si>
    <t>Licenciamientos o franquicias</t>
  </si>
  <si>
    <t>Otros activos</t>
  </si>
  <si>
    <t xml:space="preserve">3. Otras operaciones </t>
  </si>
  <si>
    <t xml:space="preserve">4. Información adicional </t>
  </si>
  <si>
    <t>Aportes en especie o en industria a sociedades o entidades extranjeras.</t>
  </si>
  <si>
    <t>Préstamos con vinculados que no fueron reflejados en el Estado de Resultados</t>
  </si>
  <si>
    <t>Aportes de intangibles a sociedades o entidades extranjeras.</t>
  </si>
  <si>
    <t>Reintegros o reembolsos de gastos con vinculados que no fueron reflejados en el Estado de Resultados</t>
  </si>
  <si>
    <t>Operaciones efectuadas a nombre de vinculados que no fueron reflejados en el Estado de Resultados</t>
  </si>
  <si>
    <t>OTRAS OPERACIONES</t>
  </si>
  <si>
    <t>INFORMACIÓN ADICIONAL</t>
  </si>
  <si>
    <t>1.</t>
  </si>
  <si>
    <t>2.</t>
  </si>
  <si>
    <t>3.</t>
  </si>
  <si>
    <t>4.</t>
  </si>
  <si>
    <t>* Ver lista de tipo de operaciones según DIAN</t>
  </si>
  <si>
    <t xml:space="preserve"> Operaciones con Vinculados</t>
  </si>
  <si>
    <t>Formatos de Información</t>
  </si>
  <si>
    <t>EMPRESA XXX</t>
  </si>
  <si>
    <t>NIT</t>
  </si>
  <si>
    <t>TERCEROS INDEPENDIENTES</t>
  </si>
  <si>
    <t>VINCULADO XYZ</t>
  </si>
  <si>
    <t>Alfred Kärcher GmbH</t>
  </si>
  <si>
    <t>TOTAL ESTADO DE RESULTADOS EMPRESA XXX</t>
  </si>
  <si>
    <t>Ingresos por comisiones</t>
  </si>
  <si>
    <t>0</t>
  </si>
  <si>
    <t>Costos</t>
  </si>
  <si>
    <t>Total costos</t>
  </si>
  <si>
    <t>Utilidad y/o pérdida Bruta</t>
  </si>
  <si>
    <t>Gastos de Administracion</t>
  </si>
  <si>
    <t>Gastos de Ventas</t>
  </si>
  <si>
    <t>Total gastos Operacionales</t>
  </si>
  <si>
    <t>Utilidad y/o pérdida Operacional</t>
  </si>
  <si>
    <t>MARGEN BRUTO</t>
  </si>
  <si>
    <t>MARGEN OPERACIONAL</t>
  </si>
  <si>
    <t>Ingresos 2016</t>
  </si>
  <si>
    <t>Total Ingresos 2016</t>
  </si>
  <si>
    <t>Operaciones de préstamo</t>
  </si>
  <si>
    <t>Crédito</t>
  </si>
  <si>
    <t>Razón Social de quien otorga el préstamo</t>
  </si>
  <si>
    <t>Razón Social de quien recibe el préstamo</t>
  </si>
  <si>
    <t>Fuente de los recursos</t>
  </si>
  <si>
    <t>Fecha original en la que se pactó</t>
  </si>
  <si>
    <t>Valor del desembolso en la moneda pactada</t>
  </si>
  <si>
    <t>Moneda pactada</t>
  </si>
  <si>
    <t>No. de desembolsos</t>
  </si>
  <si>
    <t>Fecha de desembolso</t>
  </si>
  <si>
    <t>Valor en COP en la fecha de desembolso</t>
  </si>
  <si>
    <t>Plazo</t>
  </si>
  <si>
    <t>El préstamo fue renovado (Si aplica indicar la fecha de su última renovación)</t>
  </si>
  <si>
    <t>El préstamo fue cancelado (Si aplica indicar la fecha de su cancelación)</t>
  </si>
  <si>
    <t>Tasa de interés EFECTIVA ANUAL</t>
  </si>
  <si>
    <t>Tasa de interés pactada (en caso de no haber pactado una tasa en términos EA)</t>
  </si>
  <si>
    <t>Indicar periodicidad y valor de la tasa pactada (ej Libor USD tres meses) de aplicar</t>
  </si>
  <si>
    <t>DD/MM/AAAA</t>
  </si>
  <si>
    <t>Concepto de la operación</t>
  </si>
  <si>
    <t xml:space="preserve">Pais de origen </t>
  </si>
  <si>
    <t>Ciudad</t>
  </si>
  <si>
    <t>Valor en COP del saldo al 31 de diciembre de 2024</t>
  </si>
  <si>
    <t>Monto de intereses causados o recibidos durante el FY 2024             (Moneda pactada)</t>
  </si>
  <si>
    <t>Monto de intereses causados o recibidos durante el FY 2024 (COP)</t>
  </si>
  <si>
    <t>37.</t>
  </si>
  <si>
    <t>Se encuentra obligado a presentar
Informe Maestro</t>
  </si>
  <si>
    <t>SI</t>
  </si>
  <si>
    <t>NO</t>
  </si>
  <si>
    <t>38.</t>
  </si>
  <si>
    <t>Pertenece a un grupo multinacional</t>
  </si>
  <si>
    <t>39.</t>
  </si>
  <si>
    <t>Se encuentra el grupo multinacional al cual pertenenece, obligado
a presentar el informe país por país?</t>
  </si>
  <si>
    <t>40.</t>
  </si>
  <si>
    <t>Nombre del grupo multinacional</t>
  </si>
  <si>
    <t>41.</t>
  </si>
  <si>
    <t>Es la entidad matriz o controlante del grupo multinacional</t>
  </si>
  <si>
    <t>42.</t>
  </si>
  <si>
    <t>Ha sido designada como la entidad sustituta</t>
  </si>
  <si>
    <t>43.</t>
  </si>
  <si>
    <t>Entidad informante del informe país por país</t>
  </si>
  <si>
    <t>44.</t>
  </si>
  <si>
    <t>Jurisdicción de residencia fiscal de la entidad informante</t>
  </si>
  <si>
    <t>Señale la respuesta</t>
  </si>
  <si>
    <t>Valor Deducible y No deducible</t>
  </si>
  <si>
    <t>Movimiento Débito 2025</t>
  </si>
  <si>
    <t>Movimiento crédito 2025</t>
  </si>
  <si>
    <t>Saldo 2025</t>
  </si>
  <si>
    <t>Monto operación 2025</t>
  </si>
  <si>
    <t>(SON LAS OPERACIONES REALIZADAS DURANTE EL AÑO 2025 QUE NO AFECTAN AL ESTADO DE RESULTADOS Y CORRESPONDEN A: PRESTAMOS, REINTEGROS O REEMBOLSOS DE GASTOS U OPERACIONES EFECTUADAS A NOMBRE DE VINCULADOS; TAL COMO SE RELACIONA EN EL PUNTO 4 DE LOS TIPOS DE OPERACIÓN)</t>
  </si>
  <si>
    <t xml:space="preserve"> Operaciones con Paraisos Fiscales y/o Paises de baja y nula Imposición</t>
  </si>
  <si>
    <t>Vinculado - País de baja Nula Imposición (razón social)</t>
  </si>
  <si>
    <t>Diligencie la información de las operaciones de préstamo otorgados y/o recibidos, vigentes en el año 2025, así sean a tasa 0%.</t>
  </si>
  <si>
    <t>Decreto 1496 de 2024: actualización del listado de jurisdicciones no cooperantes</t>
  </si>
  <si>
    <t xml:space="preserve"> Archipiélago de Svalbard</t>
  </si>
  <si>
    <t xml:space="preserve"> Colectividad Territorial de San Pedro y Miguelón</t>
  </si>
  <si>
    <t xml:space="preserve"> Estado de Kuwait</t>
  </si>
  <si>
    <t xml:space="preserve"> Estado de Qatar</t>
  </si>
  <si>
    <t xml:space="preserve"> Estado Independiente de Samoa Occidental</t>
  </si>
  <si>
    <t xml:space="preserve"> Isla Queshm</t>
  </si>
  <si>
    <t xml:space="preserve"> Islas Pitcairn, Henderson, Ducie y Oeno</t>
  </si>
  <si>
    <t xml:space="preserve"> Islas Salomón</t>
  </si>
  <si>
    <t xml:space="preserve"> Labuán</t>
  </si>
  <si>
    <t xml:space="preserve"> Macao</t>
  </si>
  <si>
    <t xml:space="preserve"> Mancomunidad de las Bahamas</t>
  </si>
  <si>
    <t xml:space="preserve"> Reino de Bahrein</t>
  </si>
  <si>
    <t xml:space="preserve"> Reino Hachemí de Jordania</t>
  </si>
  <si>
    <t xml:space="preserve"> República Cooperativa de Guyana</t>
  </si>
  <si>
    <t xml:space="preserve"> República de Angola</t>
  </si>
  <si>
    <t xml:space="preserve"> República de Cabo Verde</t>
  </si>
  <si>
    <t xml:space="preserve"> República de las Islas Marshall</t>
  </si>
  <si>
    <t xml:space="preserve"> República de Liberia</t>
  </si>
  <si>
    <t xml:space="preserve"> República de Maldivas</t>
  </si>
  <si>
    <t xml:space="preserve"> República de Nauru</t>
  </si>
  <si>
    <t xml:space="preserve"> República de Trinidad y Tobago</t>
  </si>
  <si>
    <t xml:space="preserve"> República de Vanuatu</t>
  </si>
  <si>
    <t xml:space="preserve"> República del Yemen</t>
  </si>
  <si>
    <t xml:space="preserve"> Santa Elena, Ascensión y Tristan de Cunha</t>
  </si>
  <si>
    <t xml:space="preserve"> Sultanía de Omán</t>
  </si>
  <si>
    <t>NOTA: Aparte del siguiente listado si usted contribuyente tiene indicios que realizo operaciones economicas con un pais de baja o nula imposición se deben incluir en materia de precios de transferencia</t>
  </si>
  <si>
    <t>END GAME INTERACTIVE INC</t>
  </si>
  <si>
    <t>BELLEVUE</t>
  </si>
  <si>
    <t>VENTA SERVICIOS</t>
  </si>
  <si>
    <t>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</si>
</sst>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 &quot;$&quot;\ * #,##0.00_ ;_ &quot;$&quot;\ * \-#,##0.00_ ;_ &quot;$&quot;\ * &quot;-&quot;??_ ;_ @_ "/>
    <numFmt numFmtId="166" formatCode="_ [$€-2]\ * #,##0.00_ ;_ [$€-2]\ * \-#,##0.00_ ;_ [$€-2]\ * &quot;-&quot;??_ "/>
    <numFmt numFmtId="167" formatCode="0.000%"/>
    <numFmt numFmtId="168" formatCode="_(* #,##0_);_(* \(#,##0\);_(* &quot;-&quot;??_);_(@_)"/>
    <numFmt numFmtId="169" formatCode="General_)"/>
    <numFmt numFmtId="170" formatCode="#,##0.00[$€]_);[Red]\(#,##0.00[$€]\)"/>
    <numFmt numFmtId="171" formatCode="0.00_)"/>
    <numFmt numFmtId="172" formatCode="[$COP]\ #,##0"/>
    <numFmt numFmtId="173" formatCode="0.000%\ &quot;Efectivo Anual&quot;"/>
    <numFmt numFmtId="174" formatCode="_-* #,##0_-;\-* #,##0_-;_-* &quot;-&quot;??_-;_-@_-"/>
  </numFmts>
  <fonts count="43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color indexed="9"/>
      <name val="Arial"/>
      <family val="2"/>
    </font>
    <font>
      <sz val="10"/>
      <name val="Verdana   "/>
    </font>
    <font>
      <sz val="11"/>
      <color indexed="8"/>
      <name val="Calibri"/>
      <family val="2"/>
    </font>
    <font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Helv"/>
    </font>
    <font>
      <sz val="12"/>
      <name val="Times New Roman"/>
      <family val="1"/>
    </font>
    <font>
      <sz val="10"/>
      <color indexed="8"/>
      <name val="Calibri"/>
      <family val="2"/>
    </font>
    <font>
      <b/>
      <sz val="10"/>
      <color indexed="52"/>
      <name val="Calibri"/>
      <family val="2"/>
    </font>
    <font>
      <sz val="10"/>
      <name val="MS Sans Serif"/>
      <family val="2"/>
    </font>
    <font>
      <sz val="10"/>
      <color indexed="17"/>
      <name val="Calibri"/>
      <family val="2"/>
    </font>
    <font>
      <b/>
      <i/>
      <sz val="16"/>
      <name val="Helv"/>
    </font>
    <font>
      <sz val="10"/>
      <color indexed="0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7" tint="-0.499984740745262"/>
      <name val="Arial"/>
      <family val="2"/>
    </font>
    <font>
      <sz val="12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i/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8"/>
      <color rgb="FFFFFFFF"/>
      <name val="Georgia"/>
      <family val="1"/>
    </font>
    <font>
      <b/>
      <sz val="13"/>
      <color rgb="FFFFFF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D0000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</borders>
  <cellStyleXfs count="222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8" fillId="2" borderId="0" applyNumberFormat="0" applyFont="0" applyFill="0" applyBorder="0" applyAlignment="0" applyProtection="0"/>
    <xf numFmtId="0" fontId="18" fillId="2" borderId="0" applyNumberFormat="0" applyFont="0" applyFill="0" applyBorder="0" applyAlignment="0" applyProtection="0"/>
    <xf numFmtId="0" fontId="18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8" fillId="4" borderId="0" applyNumberFormat="0" applyFont="0" applyFill="0" applyBorder="0" applyAlignment="0" applyProtection="0"/>
    <xf numFmtId="0" fontId="18" fillId="4" borderId="0" applyNumberFormat="0" applyFont="0" applyFill="0" applyBorder="0" applyAlignment="0" applyProtection="0"/>
    <xf numFmtId="0" fontId="18" fillId="4" borderId="0" applyNumberFormat="0" applyFont="0" applyFill="0" applyBorder="0" applyAlignment="0" applyProtection="0"/>
    <xf numFmtId="0" fontId="19" fillId="5" borderId="1" applyNumberFormat="0" applyFont="0" applyFill="0" applyBorder="0" applyAlignment="0" applyProtection="0"/>
    <xf numFmtId="0" fontId="19" fillId="5" borderId="1" applyNumberFormat="0" applyFont="0" applyFill="0" applyBorder="0" applyAlignment="0" applyProtection="0"/>
    <xf numFmtId="0" fontId="19" fillId="5" borderId="1" applyNumberFormat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0" fontId="20" fillId="0" borderId="0" applyNumberFormat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1" fillId="3" borderId="0" applyNumberFormat="0" applyFont="0" applyFill="0" applyBorder="0" applyAlignment="0" applyProtection="0"/>
    <xf numFmtId="0" fontId="21" fillId="3" borderId="0" applyNumberFormat="0" applyFont="0" applyFill="0" applyBorder="0" applyAlignment="0" applyProtection="0"/>
    <xf numFmtId="0" fontId="21" fillId="3" borderId="0" applyNumberFormat="0" applyFont="0" applyFill="0" applyBorder="0" applyAlignment="0" applyProtection="0"/>
    <xf numFmtId="0" fontId="27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8" fillId="11" borderId="0" applyNumberFormat="0" applyBorder="0" applyAlignment="0" applyProtection="0"/>
    <xf numFmtId="171" fontId="22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3" fillId="0" borderId="0" applyNumberFormat="0" applyFont="0" applyFill="0" applyBorder="0" applyAlignment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9" fillId="0" borderId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 applyNumberFormat="0" applyFont="0" applyFill="0" applyBorder="0" applyProtection="0"/>
    <xf numFmtId="169" fontId="2" fillId="0" borderId="0"/>
    <xf numFmtId="0" fontId="2" fillId="0" borderId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/>
    <xf numFmtId="0" fontId="2" fillId="0" borderId="0"/>
    <xf numFmtId="0" fontId="2" fillId="0" borderId="0"/>
    <xf numFmtId="0" fontId="23" fillId="0" borderId="0" applyNumberFormat="0" applyFont="0" applyFill="0" applyBorder="0" applyAlignment="0" applyProtection="0"/>
    <xf numFmtId="0" fontId="2" fillId="0" borderId="0"/>
    <xf numFmtId="0" fontId="26" fillId="0" borderId="0"/>
    <xf numFmtId="0" fontId="26" fillId="0" borderId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6" fillId="0" borderId="0"/>
    <xf numFmtId="0" fontId="2" fillId="0" borderId="0"/>
    <xf numFmtId="0" fontId="26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3" fillId="0" borderId="0" applyNumberFormat="0" applyFont="0" applyFill="0" applyBorder="0" applyAlignment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3" fillId="0" borderId="0" applyNumberFormat="0" applyFont="0" applyFill="0" applyBorder="0" applyAlignment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3" fillId="0" borderId="0" applyNumberFormat="0" applyFont="0" applyFill="0" applyBorder="0" applyAlignment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3" fillId="0" borderId="0" applyNumberFormat="0" applyFont="0" applyFill="0" applyBorder="0" applyAlignment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6" fillId="12" borderId="24" applyNumberFormat="0" applyFont="0" applyAlignment="0" applyProtection="0"/>
    <xf numFmtId="0" fontId="23" fillId="6" borderId="2" applyNumberFormat="0" applyFont="0" applyFill="0" applyBorder="0" applyAlignment="0" applyProtection="0"/>
    <xf numFmtId="0" fontId="23" fillId="6" borderId="2" applyNumberFormat="0" applyFont="0" applyFill="0" applyBorder="0" applyAlignment="0" applyProtection="0"/>
    <xf numFmtId="0" fontId="23" fillId="6" borderId="2" applyNumberFormat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2" fillId="0" borderId="0" applyProtection="0"/>
    <xf numFmtId="0" fontId="16" fillId="0" borderId="0"/>
    <xf numFmtId="3" fontId="2" fillId="0" borderId="0" applyProtection="0"/>
    <xf numFmtId="0" fontId="2" fillId="7" borderId="3" applyNumberFormat="0" applyProtection="0">
      <alignment horizontal="left" vertical="center" indent="1"/>
    </xf>
    <xf numFmtId="4" fontId="24" fillId="8" borderId="3" applyNumberFormat="0" applyProtection="0">
      <alignment horizontal="right" vertical="center"/>
    </xf>
    <xf numFmtId="0" fontId="2" fillId="7" borderId="3" applyNumberFormat="0" applyProtection="0">
      <alignment horizontal="left" vertical="center" indent="1"/>
    </xf>
    <xf numFmtId="0" fontId="2" fillId="7" borderId="3" applyNumberFormat="0" applyProtection="0">
      <alignment horizontal="left" vertical="center" indent="1"/>
    </xf>
    <xf numFmtId="0" fontId="2" fillId="0" borderId="0" applyNumberFormat="0" applyFont="0" applyFill="0" applyBorder="0" applyAlignment="0" applyProtection="0"/>
    <xf numFmtId="0" fontId="17" fillId="0" borderId="0"/>
    <xf numFmtId="0" fontId="29" fillId="0" borderId="25" applyNumberFormat="0" applyFill="0" applyAlignment="0" applyProtection="0"/>
    <xf numFmtId="41" fontId="39" fillId="0" borderId="0" applyFont="0" applyFill="0" applyBorder="0" applyAlignment="0" applyProtection="0"/>
  </cellStyleXfs>
  <cellXfs count="163">
    <xf numFmtId="0" fontId="0" fillId="0" borderId="0" xfId="0"/>
    <xf numFmtId="0" fontId="3" fillId="0" borderId="0" xfId="0" applyFont="1"/>
    <xf numFmtId="0" fontId="4" fillId="0" borderId="0" xfId="0" applyFont="1"/>
    <xf numFmtId="0" fontId="3" fillId="9" borderId="0" xfId="0" applyFont="1" applyFill="1"/>
    <xf numFmtId="0" fontId="4" fillId="9" borderId="0" xfId="0" applyFont="1" applyFill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3" fillId="0" borderId="4" xfId="0" applyFont="1" applyBorder="1"/>
    <xf numFmtId="3" fontId="3" fillId="0" borderId="4" xfId="0" applyNumberFormat="1" applyFont="1" applyBorder="1"/>
    <xf numFmtId="0" fontId="7" fillId="0" borderId="0" xfId="0" applyFont="1"/>
    <xf numFmtId="0" fontId="3" fillId="9" borderId="5" xfId="0" applyFont="1" applyFill="1" applyBorder="1"/>
    <xf numFmtId="0" fontId="3" fillId="0" borderId="0" xfId="0" applyFont="1" applyAlignment="1">
      <alignment horizontal="right"/>
    </xf>
    <xf numFmtId="0" fontId="3" fillId="9" borderId="6" xfId="0" applyFont="1" applyFill="1" applyBorder="1"/>
    <xf numFmtId="0" fontId="7" fillId="9" borderId="5" xfId="0" applyFont="1" applyFill="1" applyBorder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5" xfId="0" applyFont="1" applyBorder="1"/>
    <xf numFmtId="0" fontId="6" fillId="0" borderId="0" xfId="0" applyFont="1"/>
    <xf numFmtId="0" fontId="7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7" fillId="0" borderId="5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right" vertical="top"/>
    </xf>
    <xf numFmtId="0" fontId="7" fillId="9" borderId="5" xfId="0" applyFont="1" applyFill="1" applyBorder="1" applyAlignment="1">
      <alignment vertical="top"/>
    </xf>
    <xf numFmtId="0" fontId="7" fillId="0" borderId="5" xfId="0" applyFont="1" applyBorder="1" applyAlignment="1">
      <alignment vertical="top" wrapText="1"/>
    </xf>
    <xf numFmtId="0" fontId="30" fillId="1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3" fillId="10" borderId="0" xfId="0" applyFont="1" applyFill="1"/>
    <xf numFmtId="0" fontId="4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3" fontId="3" fillId="0" borderId="0" xfId="0" applyNumberFormat="1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5" xfId="0" applyFont="1" applyBorder="1"/>
    <xf numFmtId="0" fontId="4" fillId="0" borderId="0" xfId="0" applyFont="1" applyAlignment="1">
      <alignment horizontal="right"/>
    </xf>
    <xf numFmtId="0" fontId="3" fillId="0" borderId="4" xfId="0" applyFont="1" applyBorder="1" applyAlignment="1">
      <alignment horizontal="center"/>
    </xf>
    <xf numFmtId="0" fontId="4" fillId="9" borderId="0" xfId="0" applyFont="1" applyFill="1" applyAlignment="1">
      <alignment horizontal="right"/>
    </xf>
    <xf numFmtId="0" fontId="3" fillId="0" borderId="4" xfId="0" applyFont="1" applyBorder="1" applyAlignment="1">
      <alignment horizontal="right"/>
    </xf>
    <xf numFmtId="0" fontId="31" fillId="13" borderId="0" xfId="0" applyFont="1" applyFill="1"/>
    <xf numFmtId="0" fontId="32" fillId="13" borderId="0" xfId="0" applyFont="1" applyFill="1" applyAlignment="1">
      <alignment vertical="center"/>
    </xf>
    <xf numFmtId="0" fontId="33" fillId="13" borderId="0" xfId="0" applyFont="1" applyFill="1" applyAlignment="1">
      <alignment vertical="center"/>
    </xf>
    <xf numFmtId="0" fontId="0" fillId="13" borderId="0" xfId="0" applyFill="1"/>
    <xf numFmtId="0" fontId="32" fillId="13" borderId="0" xfId="0" applyFont="1" applyFill="1"/>
    <xf numFmtId="0" fontId="33" fillId="13" borderId="0" xfId="0" applyFont="1" applyFill="1"/>
    <xf numFmtId="49" fontId="13" fillId="13" borderId="4" xfId="103" applyNumberFormat="1" applyFont="1" applyFill="1" applyBorder="1" applyAlignment="1" applyProtection="1">
      <alignment horizontal="center" vertical="center" wrapText="1"/>
      <protection locked="0"/>
    </xf>
    <xf numFmtId="0" fontId="29" fillId="13" borderId="0" xfId="0" applyFont="1" applyFill="1"/>
    <xf numFmtId="49" fontId="13" fillId="13" borderId="0" xfId="103" applyNumberFormat="1" applyFont="1" applyFill="1" applyAlignment="1" applyProtection="1">
      <alignment horizontal="center" vertical="center" wrapText="1"/>
      <protection locked="0"/>
    </xf>
    <xf numFmtId="49" fontId="34" fillId="13" borderId="4" xfId="103" applyNumberFormat="1" applyFont="1" applyFill="1" applyBorder="1" applyAlignment="1" applyProtection="1">
      <alignment horizontal="center" vertical="center" wrapText="1"/>
      <protection locked="0"/>
    </xf>
    <xf numFmtId="49" fontId="34" fillId="13" borderId="0" xfId="103" applyNumberFormat="1" applyFont="1" applyFill="1" applyAlignment="1" applyProtection="1">
      <alignment horizontal="center" vertical="center" wrapText="1"/>
      <protection locked="0"/>
    </xf>
    <xf numFmtId="0" fontId="35" fillId="13" borderId="0" xfId="0" applyFont="1" applyFill="1" applyAlignment="1">
      <alignment vertical="center" wrapText="1"/>
    </xf>
    <xf numFmtId="3" fontId="35" fillId="13" borderId="7" xfId="0" applyNumberFormat="1" applyFont="1" applyFill="1" applyBorder="1"/>
    <xf numFmtId="3" fontId="35" fillId="13" borderId="0" xfId="0" applyNumberFormat="1" applyFont="1" applyFill="1"/>
    <xf numFmtId="3" fontId="35" fillId="13" borderId="8" xfId="0" applyNumberFormat="1" applyFont="1" applyFill="1" applyBorder="1"/>
    <xf numFmtId="0" fontId="35" fillId="13" borderId="0" xfId="0" applyFont="1" applyFill="1"/>
    <xf numFmtId="0" fontId="35" fillId="13" borderId="0" xfId="0" applyFont="1" applyFill="1" applyAlignment="1">
      <alignment vertical="center"/>
    </xf>
    <xf numFmtId="3" fontId="35" fillId="13" borderId="7" xfId="0" applyNumberFormat="1" applyFont="1" applyFill="1" applyBorder="1" applyAlignment="1">
      <alignment vertical="center"/>
    </xf>
    <xf numFmtId="3" fontId="35" fillId="13" borderId="0" xfId="0" applyNumberFormat="1" applyFont="1" applyFill="1" applyAlignment="1">
      <alignment vertical="center"/>
    </xf>
    <xf numFmtId="3" fontId="35" fillId="13" borderId="9" xfId="0" applyNumberFormat="1" applyFont="1" applyFill="1" applyBorder="1"/>
    <xf numFmtId="0" fontId="33" fillId="13" borderId="0" xfId="0" applyFont="1" applyFill="1" applyAlignment="1">
      <alignment vertical="center" wrapText="1"/>
    </xf>
    <xf numFmtId="3" fontId="33" fillId="13" borderId="10" xfId="0" applyNumberFormat="1" applyFont="1" applyFill="1" applyBorder="1"/>
    <xf numFmtId="3" fontId="33" fillId="13" borderId="0" xfId="0" applyNumberFormat="1" applyFont="1" applyFill="1"/>
    <xf numFmtId="0" fontId="35" fillId="13" borderId="0" xfId="0" applyFont="1" applyFill="1" applyAlignment="1">
      <alignment horizontal="left" vertical="center"/>
    </xf>
    <xf numFmtId="3" fontId="35" fillId="13" borderId="0" xfId="0" applyNumberFormat="1" applyFont="1" applyFill="1" applyAlignment="1">
      <alignment horizontal="right" vertical="center"/>
    </xf>
    <xf numFmtId="3" fontId="35" fillId="13" borderId="10" xfId="0" applyNumberFormat="1" applyFont="1" applyFill="1" applyBorder="1"/>
    <xf numFmtId="9" fontId="35" fillId="13" borderId="11" xfId="207" applyFont="1" applyFill="1" applyBorder="1"/>
    <xf numFmtId="9" fontId="35" fillId="13" borderId="12" xfId="207" applyFont="1" applyFill="1" applyBorder="1"/>
    <xf numFmtId="9" fontId="35" fillId="13" borderId="13" xfId="207" applyFont="1" applyFill="1" applyBorder="1"/>
    <xf numFmtId="9" fontId="35" fillId="13" borderId="0" xfId="207" applyFont="1" applyFill="1" applyBorder="1"/>
    <xf numFmtId="0" fontId="2" fillId="13" borderId="4" xfId="110" applyFill="1" applyBorder="1" applyAlignment="1">
      <alignment horizontal="center" vertical="center"/>
    </xf>
    <xf numFmtId="0" fontId="2" fillId="13" borderId="4" xfId="110" applyFill="1" applyBorder="1" applyAlignment="1">
      <alignment vertical="center"/>
    </xf>
    <xf numFmtId="168" fontId="2" fillId="13" borderId="4" xfId="28" applyNumberFormat="1" applyFont="1" applyFill="1" applyBorder="1" applyAlignment="1">
      <alignment horizontal="center" vertical="center"/>
    </xf>
    <xf numFmtId="14" fontId="2" fillId="13" borderId="4" xfId="110" applyNumberFormat="1" applyFill="1" applyBorder="1" applyAlignment="1">
      <alignment horizontal="center" vertical="center"/>
    </xf>
    <xf numFmtId="0" fontId="2" fillId="13" borderId="14" xfId="110" applyFill="1" applyBorder="1" applyAlignment="1">
      <alignment horizontal="center" vertical="center"/>
    </xf>
    <xf numFmtId="0" fontId="2" fillId="13" borderId="14" xfId="110" applyFill="1" applyBorder="1" applyAlignment="1">
      <alignment vertical="center"/>
    </xf>
    <xf numFmtId="168" fontId="2" fillId="13" borderId="14" xfId="28" applyNumberFormat="1" applyFont="1" applyFill="1" applyBorder="1" applyAlignment="1">
      <alignment horizontal="center" vertical="center"/>
    </xf>
    <xf numFmtId="0" fontId="2" fillId="13" borderId="0" xfId="110" applyFill="1" applyAlignment="1">
      <alignment horizontal="center"/>
    </xf>
    <xf numFmtId="14" fontId="2" fillId="13" borderId="0" xfId="110" applyNumberFormat="1" applyFill="1" applyAlignment="1">
      <alignment horizontal="center"/>
    </xf>
    <xf numFmtId="0" fontId="6" fillId="13" borderId="0" xfId="110" applyFont="1" applyFill="1" applyAlignment="1">
      <alignment horizontal="left"/>
    </xf>
    <xf numFmtId="0" fontId="13" fillId="13" borderId="0" xfId="110" applyFont="1" applyFill="1" applyAlignment="1">
      <alignment horizontal="left"/>
    </xf>
    <xf numFmtId="0" fontId="2" fillId="13" borderId="0" xfId="110" applyFill="1" applyAlignment="1">
      <alignment horizontal="left"/>
    </xf>
    <xf numFmtId="0" fontId="25" fillId="13" borderId="0" xfId="110" applyFont="1" applyFill="1" applyAlignment="1">
      <alignment horizontal="left"/>
    </xf>
    <xf numFmtId="0" fontId="25" fillId="13" borderId="0" xfId="110" applyFont="1" applyFill="1" applyAlignment="1">
      <alignment horizontal="center"/>
    </xf>
    <xf numFmtId="14" fontId="2" fillId="13" borderId="14" xfId="110" applyNumberFormat="1" applyFill="1" applyBorder="1"/>
    <xf numFmtId="174" fontId="2" fillId="13" borderId="14" xfId="29" applyNumberFormat="1" applyFont="1" applyFill="1" applyBorder="1"/>
    <xf numFmtId="14" fontId="2" fillId="13" borderId="14" xfId="110" applyNumberFormat="1" applyFill="1" applyBorder="1" applyAlignment="1">
      <alignment horizontal="center" vertical="center"/>
    </xf>
    <xf numFmtId="172" fontId="2" fillId="13" borderId="14" xfId="28" applyNumberFormat="1" applyFont="1" applyFill="1" applyBorder="1" applyAlignment="1">
      <alignment horizontal="center" vertical="center"/>
    </xf>
    <xf numFmtId="173" fontId="2" fillId="13" borderId="14" xfId="198" applyNumberFormat="1" applyFont="1" applyFill="1" applyBorder="1" applyAlignment="1">
      <alignment vertical="center" wrapText="1"/>
    </xf>
    <xf numFmtId="167" fontId="2" fillId="13" borderId="14" xfId="198" applyNumberFormat="1" applyFont="1" applyFill="1" applyBorder="1" applyAlignment="1">
      <alignment vertical="center" wrapText="1"/>
    </xf>
    <xf numFmtId="167" fontId="2" fillId="13" borderId="14" xfId="198" applyNumberFormat="1" applyFont="1" applyFill="1" applyBorder="1" applyAlignment="1">
      <alignment horizontal="center" vertical="center"/>
    </xf>
    <xf numFmtId="14" fontId="2" fillId="13" borderId="4" xfId="110" applyNumberFormat="1" applyFill="1" applyBorder="1"/>
    <xf numFmtId="174" fontId="2" fillId="13" borderId="4" xfId="29" applyNumberFormat="1" applyFont="1" applyFill="1" applyBorder="1"/>
    <xf numFmtId="172" fontId="2" fillId="13" borderId="4" xfId="28" applyNumberFormat="1" applyFont="1" applyFill="1" applyBorder="1" applyAlignment="1">
      <alignment horizontal="center" vertical="center"/>
    </xf>
    <xf numFmtId="173" fontId="2" fillId="13" borderId="4" xfId="198" applyNumberFormat="1" applyFont="1" applyFill="1" applyBorder="1" applyAlignment="1">
      <alignment vertical="center" wrapText="1"/>
    </xf>
    <xf numFmtId="167" fontId="2" fillId="13" borderId="4" xfId="198" applyNumberFormat="1" applyFont="1" applyFill="1" applyBorder="1" applyAlignment="1">
      <alignment vertical="center" wrapText="1"/>
    </xf>
    <xf numFmtId="167" fontId="2" fillId="13" borderId="4" xfId="198" applyNumberFormat="1" applyFont="1" applyFill="1" applyBorder="1" applyAlignment="1">
      <alignment horizontal="center" vertical="center"/>
    </xf>
    <xf numFmtId="167" fontId="2" fillId="13" borderId="4" xfId="198" applyNumberFormat="1" applyFont="1" applyFill="1" applyBorder="1" applyAlignment="1">
      <alignment horizontal="center" vertical="center" wrapText="1"/>
    </xf>
    <xf numFmtId="0" fontId="2" fillId="13" borderId="0" xfId="155" applyFill="1"/>
    <xf numFmtId="174" fontId="2" fillId="13" borderId="0" xfId="29" applyNumberFormat="1" applyFont="1" applyFill="1"/>
    <xf numFmtId="0" fontId="3" fillId="9" borderId="0" xfId="0" applyFont="1" applyFill="1" applyAlignment="1">
      <alignment horizontal="right"/>
    </xf>
    <xf numFmtId="0" fontId="4" fillId="0" borderId="7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top" wrapText="1"/>
    </xf>
    <xf numFmtId="0" fontId="30" fillId="13" borderId="0" xfId="0" applyFont="1" applyFill="1" applyAlignment="1">
      <alignment horizontal="right" vertical="top" wrapText="1"/>
    </xf>
    <xf numFmtId="0" fontId="4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31" fillId="13" borderId="0" xfId="0" applyFont="1" applyFill="1" applyAlignment="1">
      <alignment horizontal="right"/>
    </xf>
    <xf numFmtId="41" fontId="3" fillId="0" borderId="4" xfId="221" applyFont="1" applyFill="1" applyBorder="1" applyAlignment="1">
      <alignment horizontal="right"/>
    </xf>
    <xf numFmtId="0" fontId="3" fillId="13" borderId="0" xfId="0" applyFont="1" applyFill="1"/>
    <xf numFmtId="0" fontId="3" fillId="13" borderId="4" xfId="0" applyFont="1" applyFill="1" applyBorder="1"/>
    <xf numFmtId="0" fontId="7" fillId="13" borderId="0" xfId="0" applyFont="1" applyFill="1" applyAlignment="1">
      <alignment vertical="top" wrapText="1"/>
    </xf>
    <xf numFmtId="0" fontId="3" fillId="13" borderId="4" xfId="0" applyFont="1" applyFill="1" applyBorder="1" applyAlignment="1">
      <alignment horizontal="left"/>
    </xf>
    <xf numFmtId="0" fontId="3" fillId="13" borderId="4" xfId="0" applyFont="1" applyFill="1" applyBorder="1" applyAlignment="1">
      <alignment horizontal="right"/>
    </xf>
    <xf numFmtId="3" fontId="3" fillId="13" borderId="4" xfId="0" applyNumberFormat="1" applyFont="1" applyFill="1" applyBorder="1"/>
    <xf numFmtId="0" fontId="7" fillId="13" borderId="0" xfId="0" applyFont="1" applyFill="1"/>
    <xf numFmtId="0" fontId="1" fillId="13" borderId="0" xfId="110" applyFont="1" applyFill="1" applyAlignment="1">
      <alignment horizontal="left"/>
    </xf>
    <xf numFmtId="0" fontId="29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3" fillId="9" borderId="4" xfId="0" applyFont="1" applyFill="1" applyBorder="1"/>
    <xf numFmtId="3" fontId="3" fillId="9" borderId="4" xfId="0" applyNumberFormat="1" applyFont="1" applyFill="1" applyBorder="1"/>
    <xf numFmtId="0" fontId="3" fillId="16" borderId="0" xfId="0" applyFont="1" applyFill="1"/>
    <xf numFmtId="0" fontId="36" fillId="16" borderId="17" xfId="137" applyFont="1" applyFill="1" applyBorder="1" applyAlignment="1">
      <alignment horizontal="center" vertical="center" wrapText="1"/>
    </xf>
    <xf numFmtId="0" fontId="36" fillId="16" borderId="18" xfId="137" applyFont="1" applyFill="1" applyBorder="1" applyAlignment="1">
      <alignment horizontal="center" vertical="center" wrapText="1"/>
    </xf>
    <xf numFmtId="0" fontId="36" fillId="16" borderId="15" xfId="137" applyFont="1" applyFill="1" applyBorder="1" applyAlignment="1">
      <alignment horizontal="center" vertical="center" wrapText="1"/>
    </xf>
    <xf numFmtId="0" fontId="37" fillId="16" borderId="18" xfId="110" applyFont="1" applyFill="1" applyBorder="1" applyAlignment="1">
      <alignment horizontal="center" vertical="center" wrapText="1"/>
    </xf>
    <xf numFmtId="0" fontId="37" fillId="16" borderId="16" xfId="11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5" fillId="16" borderId="19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12" fillId="9" borderId="0" xfId="0" applyFont="1" applyFill="1" applyAlignment="1">
      <alignment horizontal="center"/>
    </xf>
    <xf numFmtId="0" fontId="4" fillId="0" borderId="0" xfId="0" applyFont="1" applyAlignment="1">
      <alignment horizontal="left" vertical="top" wrapText="1"/>
    </xf>
    <xf numFmtId="0" fontId="8" fillId="16" borderId="26" xfId="0" applyFont="1" applyFill="1" applyBorder="1" applyAlignment="1">
      <alignment horizontal="center" vertical="center" wrapText="1"/>
    </xf>
    <xf numFmtId="0" fontId="8" fillId="16" borderId="27" xfId="0" applyFont="1" applyFill="1" applyBorder="1" applyAlignment="1">
      <alignment horizontal="center" vertical="center" wrapText="1"/>
    </xf>
    <xf numFmtId="0" fontId="8" fillId="16" borderId="28" xfId="0" applyFont="1" applyFill="1" applyBorder="1" applyAlignment="1">
      <alignment horizontal="center" vertical="center" wrapText="1"/>
    </xf>
    <xf numFmtId="0" fontId="8" fillId="16" borderId="29" xfId="0" applyFont="1" applyFill="1" applyBorder="1" applyAlignment="1">
      <alignment horizontal="center" vertical="center" wrapText="1"/>
    </xf>
    <xf numFmtId="0" fontId="8" fillId="16" borderId="0" xfId="0" applyFont="1" applyFill="1" applyAlignment="1">
      <alignment horizontal="center" vertical="center" wrapText="1"/>
    </xf>
    <xf numFmtId="0" fontId="8" fillId="16" borderId="30" xfId="0" applyFont="1" applyFill="1" applyBorder="1" applyAlignment="1">
      <alignment horizontal="center" vertical="center" wrapText="1"/>
    </xf>
    <xf numFmtId="0" fontId="8" fillId="16" borderId="31" xfId="0" applyFont="1" applyFill="1" applyBorder="1" applyAlignment="1">
      <alignment horizontal="center" vertical="center" wrapText="1"/>
    </xf>
    <xf numFmtId="0" fontId="8" fillId="16" borderId="32" xfId="0" applyFont="1" applyFill="1" applyBorder="1" applyAlignment="1">
      <alignment horizontal="center" vertical="center" wrapText="1"/>
    </xf>
    <xf numFmtId="0" fontId="8" fillId="16" borderId="33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left"/>
    </xf>
    <xf numFmtId="0" fontId="5" fillId="16" borderId="4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5" fillId="16" borderId="20" xfId="0" applyFont="1" applyFill="1" applyBorder="1" applyAlignment="1">
      <alignment horizontal="center" vertical="center" wrapText="1"/>
    </xf>
    <xf numFmtId="0" fontId="3" fillId="16" borderId="21" xfId="0" applyFont="1" applyFill="1" applyBorder="1" applyAlignment="1">
      <alignment horizontal="center" vertical="center" wrapText="1"/>
    </xf>
    <xf numFmtId="0" fontId="3" fillId="16" borderId="22" xfId="0" applyFont="1" applyFill="1" applyBorder="1" applyAlignment="1">
      <alignment horizontal="center" vertical="center" wrapText="1"/>
    </xf>
    <xf numFmtId="0" fontId="3" fillId="16" borderId="23" xfId="0" applyFont="1" applyFill="1" applyBorder="1" applyAlignment="1">
      <alignment horizontal="center" vertical="center" wrapText="1"/>
    </xf>
    <xf numFmtId="0" fontId="38" fillId="16" borderId="4" xfId="0" applyFont="1" applyFill="1" applyBorder="1" applyAlignment="1">
      <alignment horizontal="center" vertical="center" wrapText="1"/>
    </xf>
    <xf numFmtId="0" fontId="31" fillId="16" borderId="4" xfId="0" applyFont="1" applyFill="1" applyBorder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37" fillId="16" borderId="0" xfId="0" applyFont="1" applyFill="1" applyAlignment="1">
      <alignment horizontal="left" vertical="top" wrapText="1"/>
    </xf>
    <xf numFmtId="0" fontId="5" fillId="16" borderId="4" xfId="0" applyFont="1" applyFill="1" applyBorder="1" applyAlignment="1">
      <alignment horizontal="right" vertical="center" wrapText="1"/>
    </xf>
    <xf numFmtId="0" fontId="3" fillId="16" borderId="4" xfId="0" applyFont="1" applyFill="1" applyBorder="1" applyAlignment="1">
      <alignment horizontal="right" vertical="center" wrapText="1"/>
    </xf>
    <xf numFmtId="0" fontId="3" fillId="0" borderId="4" xfId="0" applyFont="1" applyBorder="1" applyAlignment="1">
      <alignment horizontal="center"/>
    </xf>
    <xf numFmtId="0" fontId="5" fillId="16" borderId="14" xfId="0" applyFont="1" applyFill="1" applyBorder="1" applyAlignment="1">
      <alignment horizontal="center" vertical="center" wrapText="1"/>
    </xf>
    <xf numFmtId="0" fontId="3" fillId="13" borderId="4" xfId="0" applyFont="1" applyFill="1" applyBorder="1"/>
    <xf numFmtId="0" fontId="7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15" borderId="0" xfId="0" applyFill="1" applyAlignment="1">
      <alignment horizontal="center"/>
    </xf>
    <xf numFmtId="0" fontId="41" fillId="16" borderId="0" xfId="0" applyFont="1" applyFill="1" applyAlignment="1">
      <alignment horizontal="center" vertical="center" wrapText="1"/>
    </xf>
    <xf numFmtId="0" fontId="42" fillId="17" borderId="0" xfId="0" applyFont="1" applyFill="1" applyAlignment="1">
      <alignment horizontal="center" vertical="center" wrapText="1"/>
    </xf>
    <xf numFmtId="3" fontId="32" fillId="13" borderId="4" xfId="0" applyNumberFormat="1" applyFont="1" applyFill="1" applyBorder="1" applyAlignment="1">
      <alignment horizontal="center" vertical="center" wrapText="1"/>
    </xf>
  </cellXfs>
  <cellStyles count="222">
    <cellStyle name="0,0_x000d__x000a_NA_x000d__x000a_" xfId="1" xr:uid="{00000000-0005-0000-0000-000000000000}"/>
    <cellStyle name="0,0_x000d__x000a_NA_x000d__x000a_ 2" xfId="2" xr:uid="{00000000-0005-0000-0000-000001000000}"/>
    <cellStyle name="0,0_x000d__x000a_NA_x000d__x000a_ 3" xfId="3" xr:uid="{00000000-0005-0000-0000-000002000000}"/>
    <cellStyle name="0,0_x000d__x000a_NA_x000d__x000a__Gastos Variables 2010" xfId="4" xr:uid="{00000000-0005-0000-0000-000003000000}"/>
    <cellStyle name="20% - Accent1 10" xfId="5" xr:uid="{00000000-0005-0000-0000-000004000000}"/>
    <cellStyle name="20% - Accent1 10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1 4" xfId="9" xr:uid="{00000000-0005-0000-0000-000008000000}"/>
    <cellStyle name="20% - Accent1 5" xfId="10" xr:uid="{00000000-0005-0000-0000-000009000000}"/>
    <cellStyle name="20% - Accent1 5 2" xfId="11" xr:uid="{00000000-0005-0000-0000-00000A000000}"/>
    <cellStyle name="20% - Accent1 6" xfId="12" xr:uid="{00000000-0005-0000-0000-00000B000000}"/>
    <cellStyle name="20% - Accent1 6 2" xfId="13" xr:uid="{00000000-0005-0000-0000-00000C000000}"/>
    <cellStyle name="20% - Accent1 7" xfId="14" xr:uid="{00000000-0005-0000-0000-00000D000000}"/>
    <cellStyle name="20% - Accent1 7 2" xfId="15" xr:uid="{00000000-0005-0000-0000-00000E000000}"/>
    <cellStyle name="20% - Accent1 8" xfId="16" xr:uid="{00000000-0005-0000-0000-00000F000000}"/>
    <cellStyle name="20% - Accent1 8 2" xfId="17" xr:uid="{00000000-0005-0000-0000-000010000000}"/>
    <cellStyle name="20% - Accent1 9" xfId="18" xr:uid="{00000000-0005-0000-0000-000011000000}"/>
    <cellStyle name="20% - Accent1 9 2" xfId="19" xr:uid="{00000000-0005-0000-0000-000012000000}"/>
    <cellStyle name="40% - Accent3 2" xfId="20" xr:uid="{00000000-0005-0000-0000-000013000000}"/>
    <cellStyle name="40% - Accent3 3" xfId="21" xr:uid="{00000000-0005-0000-0000-000014000000}"/>
    <cellStyle name="40% - Accent3 4" xfId="22" xr:uid="{00000000-0005-0000-0000-000015000000}"/>
    <cellStyle name="Calculation 2" xfId="23" xr:uid="{00000000-0005-0000-0000-000016000000}"/>
    <cellStyle name="Calculation 3" xfId="24" xr:uid="{00000000-0005-0000-0000-000017000000}"/>
    <cellStyle name="Calculation 4" xfId="25" xr:uid="{00000000-0005-0000-0000-000018000000}"/>
    <cellStyle name="Comma 2" xfId="26" xr:uid="{00000000-0005-0000-0000-000019000000}"/>
    <cellStyle name="Comma 2 2" xfId="27" xr:uid="{00000000-0005-0000-0000-00001A000000}"/>
    <cellStyle name="Comma 2 2 2" xfId="28" xr:uid="{00000000-0005-0000-0000-00001B000000}"/>
    <cellStyle name="Comma 2 2 2 2" xfId="29" xr:uid="{00000000-0005-0000-0000-00001C000000}"/>
    <cellStyle name="Comma 2 2 3" xfId="30" xr:uid="{00000000-0005-0000-0000-00001D000000}"/>
    <cellStyle name="Comma 2 3" xfId="31" xr:uid="{00000000-0005-0000-0000-00001E000000}"/>
    <cellStyle name="Comma 2 3 2" xfId="32" xr:uid="{00000000-0005-0000-0000-00001F000000}"/>
    <cellStyle name="Comma 2 3 2 2" xfId="33" xr:uid="{00000000-0005-0000-0000-000020000000}"/>
    <cellStyle name="Comma 2 3 3" xfId="34" xr:uid="{00000000-0005-0000-0000-000021000000}"/>
    <cellStyle name="Comma 2 4" xfId="35" xr:uid="{00000000-0005-0000-0000-000022000000}"/>
    <cellStyle name="Comma 2 4 2" xfId="36" xr:uid="{00000000-0005-0000-0000-000023000000}"/>
    <cellStyle name="Comma 2 4 2 2" xfId="37" xr:uid="{00000000-0005-0000-0000-000024000000}"/>
    <cellStyle name="Comma 2 4 3" xfId="38" xr:uid="{00000000-0005-0000-0000-000025000000}"/>
    <cellStyle name="Comma 2 5" xfId="39" xr:uid="{00000000-0005-0000-0000-000026000000}"/>
    <cellStyle name="Comma 3" xfId="40" xr:uid="{00000000-0005-0000-0000-000027000000}"/>
    <cellStyle name="Comma 3 2" xfId="41" xr:uid="{00000000-0005-0000-0000-000028000000}"/>
    <cellStyle name="Comma 3 2 2" xfId="42" xr:uid="{00000000-0005-0000-0000-000029000000}"/>
    <cellStyle name="Comma 3 3" xfId="43" xr:uid="{00000000-0005-0000-0000-00002A000000}"/>
    <cellStyle name="Comma 4" xfId="44" xr:uid="{00000000-0005-0000-0000-00002B000000}"/>
    <cellStyle name="Comma 4 2" xfId="45" xr:uid="{00000000-0005-0000-0000-00002C000000}"/>
    <cellStyle name="Comma 5" xfId="46" xr:uid="{00000000-0005-0000-0000-00002D000000}"/>
    <cellStyle name="Comma 5 2" xfId="47" xr:uid="{00000000-0005-0000-0000-00002E000000}"/>
    <cellStyle name="Comma 6" xfId="48" xr:uid="{00000000-0005-0000-0000-00002F000000}"/>
    <cellStyle name="Comma 6 2" xfId="49" xr:uid="{00000000-0005-0000-0000-000030000000}"/>
    <cellStyle name="Comma 6 2 2" xfId="50" xr:uid="{00000000-0005-0000-0000-000031000000}"/>
    <cellStyle name="Comma 6 3" xfId="51" xr:uid="{00000000-0005-0000-0000-000032000000}"/>
    <cellStyle name="Comma 7" xfId="52" xr:uid="{00000000-0005-0000-0000-000033000000}"/>
    <cellStyle name="Comma 7 2" xfId="53" xr:uid="{00000000-0005-0000-0000-000034000000}"/>
    <cellStyle name="Comma 8" xfId="54" xr:uid="{00000000-0005-0000-0000-000035000000}"/>
    <cellStyle name="Currency 2" xfId="55" xr:uid="{00000000-0005-0000-0000-000036000000}"/>
    <cellStyle name="Currency 2 2" xfId="56" xr:uid="{00000000-0005-0000-0000-000037000000}"/>
    <cellStyle name="Currency 2 2 2" xfId="57" xr:uid="{00000000-0005-0000-0000-000038000000}"/>
    <cellStyle name="Currency 2 3" xfId="58" xr:uid="{00000000-0005-0000-0000-000039000000}"/>
    <cellStyle name="Currency 3" xfId="59" xr:uid="{00000000-0005-0000-0000-00003A000000}"/>
    <cellStyle name="Currency 3 2" xfId="60" xr:uid="{00000000-0005-0000-0000-00003B000000}"/>
    <cellStyle name="Currency 4" xfId="61" xr:uid="{00000000-0005-0000-0000-00003C000000}"/>
    <cellStyle name="Currency 4 2" xfId="62" xr:uid="{00000000-0005-0000-0000-00003D000000}"/>
    <cellStyle name="Currency_K+ N S.A. Operaciones con Vinculados 2006" xfId="63" xr:uid="{00000000-0005-0000-0000-00003E000000}"/>
    <cellStyle name="Euro" xfId="64" xr:uid="{00000000-0005-0000-0000-00003F000000}"/>
    <cellStyle name="Euro 2" xfId="65" xr:uid="{00000000-0005-0000-0000-000040000000}"/>
    <cellStyle name="Euro 3" xfId="66" xr:uid="{00000000-0005-0000-0000-000041000000}"/>
    <cellStyle name="Euro 4" xfId="67" xr:uid="{00000000-0005-0000-0000-000042000000}"/>
    <cellStyle name="Euro 5" xfId="68" xr:uid="{00000000-0005-0000-0000-000043000000}"/>
    <cellStyle name="Good 2" xfId="69" xr:uid="{00000000-0005-0000-0000-000044000000}"/>
    <cellStyle name="Good 3" xfId="70" xr:uid="{00000000-0005-0000-0000-000045000000}"/>
    <cellStyle name="Good 4" xfId="71" xr:uid="{00000000-0005-0000-0000-000046000000}"/>
    <cellStyle name="Hipervínculo 2" xfId="72" xr:uid="{00000000-0005-0000-0000-000047000000}"/>
    <cellStyle name="Millares [0]" xfId="221" builtinId="6"/>
    <cellStyle name="Millares 2" xfId="73" xr:uid="{00000000-0005-0000-0000-000048000000}"/>
    <cellStyle name="Millares 2 2" xfId="74" xr:uid="{00000000-0005-0000-0000-000049000000}"/>
    <cellStyle name="Millares 3" xfId="75" xr:uid="{00000000-0005-0000-0000-00004A000000}"/>
    <cellStyle name="Millares 3 2" xfId="76" xr:uid="{00000000-0005-0000-0000-00004B000000}"/>
    <cellStyle name="Millares 4" xfId="77" xr:uid="{00000000-0005-0000-0000-00004C000000}"/>
    <cellStyle name="Millares 4 2" xfId="78" xr:uid="{00000000-0005-0000-0000-00004D000000}"/>
    <cellStyle name="Millares 5" xfId="79" xr:uid="{00000000-0005-0000-0000-00004E000000}"/>
    <cellStyle name="Neutral" xfId="80" builtinId="28" customBuiltin="1"/>
    <cellStyle name="Normal" xfId="0" builtinId="0"/>
    <cellStyle name="Normal - Style1" xfId="81" xr:uid="{00000000-0005-0000-0000-000051000000}"/>
    <cellStyle name="Normal 10" xfId="82" xr:uid="{00000000-0005-0000-0000-000052000000}"/>
    <cellStyle name="Normal 10 2" xfId="83" xr:uid="{00000000-0005-0000-0000-000053000000}"/>
    <cellStyle name="Normal 10 2 2" xfId="84" xr:uid="{00000000-0005-0000-0000-000054000000}"/>
    <cellStyle name="Normal 10 3" xfId="85" xr:uid="{00000000-0005-0000-0000-000055000000}"/>
    <cellStyle name="Normal 10 4" xfId="86" xr:uid="{00000000-0005-0000-0000-000056000000}"/>
    <cellStyle name="Normal 10 5" xfId="87" xr:uid="{00000000-0005-0000-0000-000057000000}"/>
    <cellStyle name="Normal 10 6" xfId="88" xr:uid="{00000000-0005-0000-0000-000058000000}"/>
    <cellStyle name="Normal 11" xfId="89" xr:uid="{00000000-0005-0000-0000-000059000000}"/>
    <cellStyle name="Normal 11 2" xfId="90" xr:uid="{00000000-0005-0000-0000-00005A000000}"/>
    <cellStyle name="Normal 11 3" xfId="91" xr:uid="{00000000-0005-0000-0000-00005B000000}"/>
    <cellStyle name="Normal 11 4" xfId="92" xr:uid="{00000000-0005-0000-0000-00005C000000}"/>
    <cellStyle name="Normal 11 5" xfId="93" xr:uid="{00000000-0005-0000-0000-00005D000000}"/>
    <cellStyle name="Normal 11 6" xfId="94" xr:uid="{00000000-0005-0000-0000-00005E000000}"/>
    <cellStyle name="Normal 12" xfId="95" xr:uid="{00000000-0005-0000-0000-00005F000000}"/>
    <cellStyle name="Normal 13" xfId="96" xr:uid="{00000000-0005-0000-0000-000060000000}"/>
    <cellStyle name="Normal 14" xfId="97" xr:uid="{00000000-0005-0000-0000-000061000000}"/>
    <cellStyle name="Normal 15" xfId="98" xr:uid="{00000000-0005-0000-0000-000062000000}"/>
    <cellStyle name="Normal 16" xfId="99" xr:uid="{00000000-0005-0000-0000-000063000000}"/>
    <cellStyle name="Normal 17" xfId="100" xr:uid="{00000000-0005-0000-0000-000064000000}"/>
    <cellStyle name="Normal 18" xfId="101" xr:uid="{00000000-0005-0000-0000-000065000000}"/>
    <cellStyle name="Normal 19" xfId="102" xr:uid="{00000000-0005-0000-0000-000066000000}"/>
    <cellStyle name="Normal 2" xfId="103" xr:uid="{00000000-0005-0000-0000-000067000000}"/>
    <cellStyle name="Normal 2 10" xfId="104" xr:uid="{00000000-0005-0000-0000-000068000000}"/>
    <cellStyle name="Normal 2 11" xfId="105" xr:uid="{00000000-0005-0000-0000-000069000000}"/>
    <cellStyle name="Normal 2 12" xfId="106" xr:uid="{00000000-0005-0000-0000-00006A000000}"/>
    <cellStyle name="Normal 2 13" xfId="107" xr:uid="{00000000-0005-0000-0000-00006B000000}"/>
    <cellStyle name="Normal 2 14" xfId="108" xr:uid="{00000000-0005-0000-0000-00006C000000}"/>
    <cellStyle name="Normal 2 15" xfId="109" xr:uid="{00000000-0005-0000-0000-00006D000000}"/>
    <cellStyle name="Normal 2 16" xfId="110" xr:uid="{00000000-0005-0000-0000-00006E000000}"/>
    <cellStyle name="Normal 2 17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3" xfId="114" xr:uid="{00000000-0005-0000-0000-000072000000}"/>
    <cellStyle name="Normal 2 3" xfId="115" xr:uid="{00000000-0005-0000-0000-000073000000}"/>
    <cellStyle name="Normal 2 4" xfId="116" xr:uid="{00000000-0005-0000-0000-000074000000}"/>
    <cellStyle name="Normal 2 4 2" xfId="117" xr:uid="{00000000-0005-0000-0000-000075000000}"/>
    <cellStyle name="Normal 2 4 3" xfId="118" xr:uid="{00000000-0005-0000-0000-000076000000}"/>
    <cellStyle name="Normal 2 4 4" xfId="119" xr:uid="{00000000-0005-0000-0000-000077000000}"/>
    <cellStyle name="Normal 2 4 5" xfId="120" xr:uid="{00000000-0005-0000-0000-000078000000}"/>
    <cellStyle name="Normal 2 4 6" xfId="121" xr:uid="{00000000-0005-0000-0000-000079000000}"/>
    <cellStyle name="Normal 2 5" xfId="122" xr:uid="{00000000-0005-0000-0000-00007A000000}"/>
    <cellStyle name="Normal 2 6" xfId="123" xr:uid="{00000000-0005-0000-0000-00007B000000}"/>
    <cellStyle name="Normal 2 7" xfId="124" xr:uid="{00000000-0005-0000-0000-00007C000000}"/>
    <cellStyle name="Normal 2 8" xfId="125" xr:uid="{00000000-0005-0000-0000-00007D000000}"/>
    <cellStyle name="Normal 2 9" xfId="126" xr:uid="{00000000-0005-0000-0000-00007E000000}"/>
    <cellStyle name="Normal 20" xfId="127" xr:uid="{00000000-0005-0000-0000-00007F000000}"/>
    <cellStyle name="Normal 21" xfId="128" xr:uid="{00000000-0005-0000-0000-000080000000}"/>
    <cellStyle name="Normal 22" xfId="129" xr:uid="{00000000-0005-0000-0000-000081000000}"/>
    <cellStyle name="Normal 23" xfId="130" xr:uid="{00000000-0005-0000-0000-000082000000}"/>
    <cellStyle name="Normal 24" xfId="131" xr:uid="{00000000-0005-0000-0000-000083000000}"/>
    <cellStyle name="Normal 25" xfId="132" xr:uid="{00000000-0005-0000-0000-000084000000}"/>
    <cellStyle name="Normal 26" xfId="133" xr:uid="{00000000-0005-0000-0000-000085000000}"/>
    <cellStyle name="Normal 27" xfId="134" xr:uid="{00000000-0005-0000-0000-000086000000}"/>
    <cellStyle name="Normal 28" xfId="135" xr:uid="{00000000-0005-0000-0000-000087000000}"/>
    <cellStyle name="Normal 29" xfId="136" xr:uid="{00000000-0005-0000-0000-000088000000}"/>
    <cellStyle name="Normal 3" xfId="137" xr:uid="{00000000-0005-0000-0000-000089000000}"/>
    <cellStyle name="Normal 3 10" xfId="138" xr:uid="{00000000-0005-0000-0000-00008A000000}"/>
    <cellStyle name="Normal 3 11" xfId="139" xr:uid="{00000000-0005-0000-0000-00008B000000}"/>
    <cellStyle name="Normal 3 2" xfId="140" xr:uid="{00000000-0005-0000-0000-00008C000000}"/>
    <cellStyle name="Normal 3 3" xfId="141" xr:uid="{00000000-0005-0000-0000-00008D000000}"/>
    <cellStyle name="Normal 3 3 2" xfId="142" xr:uid="{00000000-0005-0000-0000-00008E000000}"/>
    <cellStyle name="Normal 3 4" xfId="143" xr:uid="{00000000-0005-0000-0000-00008F000000}"/>
    <cellStyle name="Normal 3 5" xfId="144" xr:uid="{00000000-0005-0000-0000-000090000000}"/>
    <cellStyle name="Normal 3 6" xfId="145" xr:uid="{00000000-0005-0000-0000-000091000000}"/>
    <cellStyle name="Normal 3 7" xfId="146" xr:uid="{00000000-0005-0000-0000-000092000000}"/>
    <cellStyle name="Normal 3 8" xfId="147" xr:uid="{00000000-0005-0000-0000-000093000000}"/>
    <cellStyle name="Normal 3 9" xfId="148" xr:uid="{00000000-0005-0000-0000-000094000000}"/>
    <cellStyle name="Normal 30" xfId="149" xr:uid="{00000000-0005-0000-0000-000095000000}"/>
    <cellStyle name="Normal 31" xfId="150" xr:uid="{00000000-0005-0000-0000-000096000000}"/>
    <cellStyle name="Normal 32" xfId="151" xr:uid="{00000000-0005-0000-0000-000097000000}"/>
    <cellStyle name="Normal 33" xfId="152" xr:uid="{00000000-0005-0000-0000-000098000000}"/>
    <cellStyle name="Normal 34" xfId="153" xr:uid="{00000000-0005-0000-0000-000099000000}"/>
    <cellStyle name="Normal 35" xfId="154" xr:uid="{00000000-0005-0000-0000-00009A000000}"/>
    <cellStyle name="Normal 36" xfId="155" xr:uid="{00000000-0005-0000-0000-00009B000000}"/>
    <cellStyle name="Normal 4" xfId="156" xr:uid="{00000000-0005-0000-0000-00009C000000}"/>
    <cellStyle name="Normal 4 2" xfId="157" xr:uid="{00000000-0005-0000-0000-00009D000000}"/>
    <cellStyle name="Normal 4 3" xfId="158" xr:uid="{00000000-0005-0000-0000-00009E000000}"/>
    <cellStyle name="Normal 4 4" xfId="159" xr:uid="{00000000-0005-0000-0000-00009F000000}"/>
    <cellStyle name="Normal 4 5" xfId="160" xr:uid="{00000000-0005-0000-0000-0000A0000000}"/>
    <cellStyle name="Normal 4 6" xfId="161" xr:uid="{00000000-0005-0000-0000-0000A1000000}"/>
    <cellStyle name="Normal 4 7" xfId="162" xr:uid="{00000000-0005-0000-0000-0000A2000000}"/>
    <cellStyle name="Normal 5" xfId="163" xr:uid="{00000000-0005-0000-0000-0000A3000000}"/>
    <cellStyle name="Normal 5 2" xfId="164" xr:uid="{00000000-0005-0000-0000-0000A4000000}"/>
    <cellStyle name="Normal 5 3" xfId="165" xr:uid="{00000000-0005-0000-0000-0000A5000000}"/>
    <cellStyle name="Normal 5 4" xfId="166" xr:uid="{00000000-0005-0000-0000-0000A6000000}"/>
    <cellStyle name="Normal 5 5" xfId="167" xr:uid="{00000000-0005-0000-0000-0000A7000000}"/>
    <cellStyle name="Normal 5 6" xfId="168" xr:uid="{00000000-0005-0000-0000-0000A8000000}"/>
    <cellStyle name="Normal 6" xfId="169" xr:uid="{00000000-0005-0000-0000-0000A9000000}"/>
    <cellStyle name="Normal 6 2" xfId="170" xr:uid="{00000000-0005-0000-0000-0000AA000000}"/>
    <cellStyle name="Normal 6 3" xfId="171" xr:uid="{00000000-0005-0000-0000-0000AB000000}"/>
    <cellStyle name="Normal 6 4" xfId="172" xr:uid="{00000000-0005-0000-0000-0000AC000000}"/>
    <cellStyle name="Normal 6 5" xfId="173" xr:uid="{00000000-0005-0000-0000-0000AD000000}"/>
    <cellStyle name="Normal 6 6" xfId="174" xr:uid="{00000000-0005-0000-0000-0000AE000000}"/>
    <cellStyle name="Normal 7" xfId="175" xr:uid="{00000000-0005-0000-0000-0000AF000000}"/>
    <cellStyle name="Normal 7 2" xfId="176" xr:uid="{00000000-0005-0000-0000-0000B0000000}"/>
    <cellStyle name="Normal 7 3" xfId="177" xr:uid="{00000000-0005-0000-0000-0000B1000000}"/>
    <cellStyle name="Normal 7 4" xfId="178" xr:uid="{00000000-0005-0000-0000-0000B2000000}"/>
    <cellStyle name="Normal 7 5" xfId="179" xr:uid="{00000000-0005-0000-0000-0000B3000000}"/>
    <cellStyle name="Normal 7 6" xfId="180" xr:uid="{00000000-0005-0000-0000-0000B4000000}"/>
    <cellStyle name="Normal 8" xfId="181" xr:uid="{00000000-0005-0000-0000-0000B5000000}"/>
    <cellStyle name="Normal 8 2" xfId="182" xr:uid="{00000000-0005-0000-0000-0000B6000000}"/>
    <cellStyle name="Normal 8 3" xfId="183" xr:uid="{00000000-0005-0000-0000-0000B7000000}"/>
    <cellStyle name="Normal 8 4" xfId="184" xr:uid="{00000000-0005-0000-0000-0000B8000000}"/>
    <cellStyle name="Normal 8 5" xfId="185" xr:uid="{00000000-0005-0000-0000-0000B9000000}"/>
    <cellStyle name="Normal 8 6" xfId="186" xr:uid="{00000000-0005-0000-0000-0000BA000000}"/>
    <cellStyle name="Normal 9" xfId="187" xr:uid="{00000000-0005-0000-0000-0000BB000000}"/>
    <cellStyle name="Normal 9 2" xfId="188" xr:uid="{00000000-0005-0000-0000-0000BC000000}"/>
    <cellStyle name="Normal 9 3" xfId="189" xr:uid="{00000000-0005-0000-0000-0000BD000000}"/>
    <cellStyle name="Normal 9 4" xfId="190" xr:uid="{00000000-0005-0000-0000-0000BE000000}"/>
    <cellStyle name="Normal 9 5" xfId="191" xr:uid="{00000000-0005-0000-0000-0000BF000000}"/>
    <cellStyle name="Normal 9 6" xfId="192" xr:uid="{00000000-0005-0000-0000-0000C0000000}"/>
    <cellStyle name="Note 2" xfId="193" xr:uid="{00000000-0005-0000-0000-0000C1000000}"/>
    <cellStyle name="Note 2 2" xfId="194" xr:uid="{00000000-0005-0000-0000-0000C2000000}"/>
    <cellStyle name="Note 3" xfId="195" xr:uid="{00000000-0005-0000-0000-0000C3000000}"/>
    <cellStyle name="Note 4" xfId="196" xr:uid="{00000000-0005-0000-0000-0000C4000000}"/>
    <cellStyle name="Percent 2" xfId="197" xr:uid="{00000000-0005-0000-0000-0000C5000000}"/>
    <cellStyle name="Percent 2 2" xfId="198" xr:uid="{00000000-0005-0000-0000-0000C6000000}"/>
    <cellStyle name="Percent 3" xfId="199" xr:uid="{00000000-0005-0000-0000-0000C7000000}"/>
    <cellStyle name="Percent 3 2" xfId="200" xr:uid="{00000000-0005-0000-0000-0000C8000000}"/>
    <cellStyle name="Percent 3 3" xfId="201" xr:uid="{00000000-0005-0000-0000-0000C9000000}"/>
    <cellStyle name="Percent 4" xfId="202" xr:uid="{00000000-0005-0000-0000-0000CA000000}"/>
    <cellStyle name="Percent 5" xfId="203" xr:uid="{00000000-0005-0000-0000-0000CB000000}"/>
    <cellStyle name="Percent 6" xfId="204" xr:uid="{00000000-0005-0000-0000-0000CC000000}"/>
    <cellStyle name="Percent 7" xfId="205" xr:uid="{00000000-0005-0000-0000-0000CD000000}"/>
    <cellStyle name="Percent 8" xfId="206" xr:uid="{00000000-0005-0000-0000-0000CE000000}"/>
    <cellStyle name="Porcentaje" xfId="207" builtinId="5"/>
    <cellStyle name="Porcentaje 2" xfId="208" xr:uid="{00000000-0005-0000-0000-0000D0000000}"/>
    <cellStyle name="Porcentual 2" xfId="209" xr:uid="{00000000-0005-0000-0000-0000D1000000}"/>
    <cellStyle name="Porcentual 3" xfId="210" xr:uid="{00000000-0005-0000-0000-0000D2000000}"/>
    <cellStyle name="Punto0" xfId="211" xr:uid="{00000000-0005-0000-0000-0000D3000000}"/>
    <cellStyle name="Punto0 - Estilo3" xfId="212" xr:uid="{00000000-0005-0000-0000-0000D4000000}"/>
    <cellStyle name="Punto0_PUC Dossier 12 10 ajustado" xfId="213" xr:uid="{00000000-0005-0000-0000-0000D5000000}"/>
    <cellStyle name="SAPBEXchaText" xfId="214" xr:uid="{00000000-0005-0000-0000-0000D6000000}"/>
    <cellStyle name="SAPBEXstdData" xfId="215" xr:uid="{00000000-0005-0000-0000-0000D7000000}"/>
    <cellStyle name="SAPBEXstdItem" xfId="216" xr:uid="{00000000-0005-0000-0000-0000D8000000}"/>
    <cellStyle name="SAPBEXstdItemX" xfId="217" xr:uid="{00000000-0005-0000-0000-0000D9000000}"/>
    <cellStyle name="Standard_Bilanzerfassungsschema Creditreform Rating1" xfId="218" xr:uid="{00000000-0005-0000-0000-0000DA000000}"/>
    <cellStyle name="Style 1" xfId="219" xr:uid="{00000000-0005-0000-0000-0000DB000000}"/>
    <cellStyle name="Total" xfId="220" builtinId="25" customBuiltin="1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942975</xdr:colOff>
      <xdr:row>30</xdr:row>
      <xdr:rowOff>38100</xdr:rowOff>
    </xdr:from>
    <xdr:to>
      <xdr:col>12</xdr:col>
      <xdr:colOff>28574</xdr:colOff>
      <xdr:row>34</xdr:row>
      <xdr:rowOff>90396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B26219B-4669-4827-BF0F-6AAA074D813F}"/>
            </a:ext>
          </a:extLst>
        </xdr:cNvPr>
        <xdr:cNvSpPr txBox="1">
          <a:spLocks noChangeArrowheads="1"/>
        </xdr:cNvSpPr>
      </xdr:nvSpPr>
      <xdr:spPr bwMode="auto">
        <a:xfrm>
          <a:off x="5334000" y="5343525"/>
          <a:ext cx="4276724" cy="69999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000" b="1" i="0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XXXXXXXXXXXXX</a:t>
          </a:r>
        </a:p>
        <a:p>
          <a:pPr algn="ct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Revisor</a:t>
          </a:r>
          <a:r>
            <a:rPr lang="es-ES" sz="1000" b="1" i="0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 Fiscal</a:t>
          </a:r>
        </a:p>
        <a:p>
          <a:pPr algn="ctr" rtl="0">
            <a:defRPr sz="1000"/>
          </a:pPr>
          <a:r>
            <a:rPr lang="es-ES" sz="1000" b="1" i="0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Miembro de la Firma Cr Financial &amp; Legal Services SAS</a:t>
          </a:r>
        </a:p>
        <a:p>
          <a:pPr algn="ctr" rtl="0">
            <a:defRPr sz="1000"/>
          </a:pPr>
          <a:r>
            <a:rPr lang="es-ES" sz="1000" b="1" i="0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TP- XXX-T</a:t>
          </a:r>
        </a:p>
        <a:p>
          <a:pPr algn="ctr" rtl="0">
            <a:defRPr sz="1000"/>
          </a:pPr>
          <a:endParaRPr lang="es-ES" sz="1100" b="1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0</xdr:colOff>
      <xdr:row>30</xdr:row>
      <xdr:rowOff>0</xdr:rowOff>
    </xdr:from>
    <xdr:to>
      <xdr:col>2</xdr:col>
      <xdr:colOff>76199</xdr:colOff>
      <xdr:row>34</xdr:row>
      <xdr:rowOff>52296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D07F12F5-90AB-43C9-9190-EF8C163A8BD2}"/>
            </a:ext>
          </a:extLst>
        </xdr:cNvPr>
        <xdr:cNvSpPr txBox="1">
          <a:spLocks noChangeArrowheads="1"/>
        </xdr:cNvSpPr>
      </xdr:nvSpPr>
      <xdr:spPr bwMode="auto">
        <a:xfrm>
          <a:off x="0" y="5305425"/>
          <a:ext cx="4276724" cy="69999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000" b="1" i="0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XXXXXXXXXXXXX</a:t>
          </a:r>
        </a:p>
        <a:p>
          <a:pPr algn="ct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Representante</a:t>
          </a:r>
          <a:r>
            <a:rPr lang="es-ES" sz="1000" b="1" i="0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 Legal</a:t>
          </a:r>
        </a:p>
        <a:p>
          <a:pPr algn="ctr" rtl="0">
            <a:defRPr sz="1000"/>
          </a:pPr>
          <a:endParaRPr lang="es-ES" sz="1100" b="1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IW101"/>
  <sheetViews>
    <sheetView showGridLines="0" tabSelected="1" zoomScale="80" zoomScaleNormal="80" zoomScaleSheetLayoutView="75" workbookViewId="0">
      <selection activeCell="C17" sqref="C17"/>
    </sheetView>
  </sheetViews>
  <sheetFormatPr baseColWidth="10" defaultColWidth="9.140625" defaultRowHeight="15"/>
  <cols>
    <col min="1" max="1" width="8" style="39" customWidth="1"/>
    <col min="2" max="2" width="34.85546875" style="39" customWidth="1"/>
    <col min="3" max="3" width="32.85546875" style="39" customWidth="1"/>
    <col min="4" max="5" width="19.42578125" style="39" customWidth="1"/>
    <col min="6" max="6" width="34.85546875" style="39" customWidth="1"/>
    <col min="7" max="7" width="11.42578125" style="39" bestFit="1" customWidth="1"/>
    <col min="8" max="8" width="2.7109375" style="39" customWidth="1"/>
    <col min="9" max="9" width="17.7109375" style="106" customWidth="1"/>
    <col min="10" max="10" width="17.7109375" style="39" customWidth="1"/>
    <col min="11" max="11" width="2.42578125" style="39" customWidth="1"/>
    <col min="12" max="12" width="31.28515625" style="39" bestFit="1" customWidth="1"/>
    <col min="13" max="13" width="30.7109375" style="39" customWidth="1"/>
    <col min="14" max="16384" width="9.140625" style="39"/>
  </cols>
  <sheetData>
    <row r="1" spans="1:13" s="27" customFormat="1" ht="15" customHeight="1">
      <c r="A1" s="1"/>
      <c r="B1" s="1"/>
      <c r="C1" s="1"/>
      <c r="D1" s="1"/>
      <c r="E1" s="1"/>
      <c r="F1" s="1"/>
      <c r="G1" s="1"/>
      <c r="H1" s="1"/>
      <c r="I1" s="10"/>
      <c r="J1" s="1"/>
      <c r="K1" s="1"/>
      <c r="L1" s="1"/>
      <c r="M1" s="3"/>
    </row>
    <row r="2" spans="1:13" s="27" customFormat="1" ht="18">
      <c r="A2" s="130" t="s">
        <v>74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</row>
    <row r="3" spans="1:13" s="27" customFormat="1" ht="15.75" customHeight="1">
      <c r="A3" s="130" t="s">
        <v>73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</row>
    <row r="4" spans="1:13" s="27" customFormat="1" ht="15" customHeight="1">
      <c r="A4" s="1"/>
      <c r="B4" s="3"/>
      <c r="C4" s="3"/>
      <c r="D4" s="3"/>
      <c r="E4" s="3"/>
      <c r="F4" s="3"/>
      <c r="G4" s="3"/>
      <c r="H4" s="3"/>
      <c r="I4" s="99"/>
      <c r="J4" s="3"/>
      <c r="K4" s="3"/>
      <c r="L4" s="3"/>
      <c r="M4" s="3"/>
    </row>
    <row r="5" spans="1:13" s="27" customFormat="1">
      <c r="A5" s="1"/>
      <c r="B5" s="3"/>
      <c r="C5" s="3"/>
      <c r="D5" s="3"/>
      <c r="E5" s="3"/>
      <c r="F5" s="3"/>
      <c r="G5" s="3"/>
      <c r="H5" s="3"/>
      <c r="I5" s="10"/>
      <c r="J5" s="1"/>
      <c r="K5" s="1"/>
      <c r="L5" s="1"/>
      <c r="M5" s="3"/>
    </row>
    <row r="6" spans="1:13" s="27" customFormat="1" ht="21" customHeight="1">
      <c r="A6" s="1"/>
      <c r="B6" s="4" t="s">
        <v>35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3"/>
    </row>
    <row r="7" spans="1:13" s="27" customFormat="1" ht="15.75">
      <c r="A7" s="1"/>
      <c r="B7" s="2"/>
      <c r="C7" s="2"/>
      <c r="D7" s="1"/>
      <c r="E7" s="1"/>
      <c r="F7" s="1"/>
      <c r="G7" s="1"/>
      <c r="H7" s="1"/>
      <c r="I7" s="10"/>
      <c r="J7" s="1"/>
      <c r="K7" s="1"/>
      <c r="L7" s="1"/>
      <c r="M7" s="3"/>
    </row>
    <row r="8" spans="1:13" s="27" customFormat="1" ht="36" customHeight="1">
      <c r="A8" s="35" t="s">
        <v>68</v>
      </c>
      <c r="B8" s="2" t="s">
        <v>29</v>
      </c>
      <c r="C8" s="1"/>
      <c r="D8" s="1"/>
      <c r="E8" s="1"/>
      <c r="F8" s="1"/>
      <c r="G8" s="1"/>
      <c r="H8" s="1"/>
      <c r="I8" s="150" t="s">
        <v>36</v>
      </c>
      <c r="J8" s="150"/>
      <c r="K8" s="1"/>
      <c r="L8" s="1"/>
      <c r="M8" s="3"/>
    </row>
    <row r="9" spans="1:13" s="27" customFormat="1" ht="8.1" customHeight="1">
      <c r="A9" s="35"/>
      <c r="B9" s="1"/>
      <c r="C9" s="1"/>
      <c r="D9" s="1"/>
      <c r="E9" s="1"/>
      <c r="F9" s="1"/>
      <c r="G9" s="1"/>
      <c r="H9" s="1"/>
      <c r="I9" s="100"/>
      <c r="J9" s="28"/>
      <c r="K9" s="1"/>
      <c r="L9" s="1"/>
      <c r="M9" s="3"/>
    </row>
    <row r="10" spans="1:13" s="27" customFormat="1" ht="18" customHeight="1">
      <c r="A10" s="35"/>
      <c r="B10" s="142" t="s">
        <v>28</v>
      </c>
      <c r="C10" s="142" t="s">
        <v>26</v>
      </c>
      <c r="D10" s="142" t="s">
        <v>25</v>
      </c>
      <c r="E10" s="127" t="s">
        <v>114</v>
      </c>
      <c r="F10" s="142" t="s">
        <v>27</v>
      </c>
      <c r="G10" s="142" t="s">
        <v>24</v>
      </c>
      <c r="H10" s="1"/>
      <c r="I10" s="152" t="s">
        <v>31</v>
      </c>
      <c r="J10" s="142" t="s">
        <v>32</v>
      </c>
      <c r="K10" s="120"/>
      <c r="L10" s="142" t="s">
        <v>37</v>
      </c>
      <c r="M10" s="3"/>
    </row>
    <row r="11" spans="1:13" s="27" customFormat="1" ht="28.35" customHeight="1">
      <c r="A11" s="35"/>
      <c r="B11" s="143"/>
      <c r="C11" s="143"/>
      <c r="D11" s="143"/>
      <c r="E11" s="155"/>
      <c r="F11" s="143"/>
      <c r="G11" s="143"/>
      <c r="H11" s="1"/>
      <c r="I11" s="153"/>
      <c r="J11" s="143"/>
      <c r="K11" s="120"/>
      <c r="L11" s="143"/>
      <c r="M11" s="3"/>
    </row>
    <row r="12" spans="1:13" s="27" customFormat="1" ht="15.95" customHeight="1">
      <c r="A12" s="35"/>
      <c r="B12" s="109" t="s">
        <v>173</v>
      </c>
      <c r="C12" s="109">
        <v>444444001</v>
      </c>
      <c r="D12" s="109">
        <v>249</v>
      </c>
      <c r="E12" s="109" t="s">
        <v>174</v>
      </c>
      <c r="F12" s="109" t="s">
        <v>175</v>
      </c>
      <c r="G12" s="109"/>
      <c r="H12" s="108"/>
      <c r="I12" s="112">
        <v>1007</v>
      </c>
      <c r="J12" s="109">
        <v>4001</v>
      </c>
      <c r="K12" s="108"/>
      <c r="L12" s="113">
        <v>3432402110</v>
      </c>
      <c r="M12" s="3"/>
    </row>
    <row r="13" spans="1:13" s="27" customFormat="1" ht="15.95" customHeight="1">
      <c r="A13" s="35"/>
      <c r="B13" s="109" t="s">
        <v>173</v>
      </c>
      <c r="C13" s="109">
        <v>444444001</v>
      </c>
      <c r="D13" s="109">
        <v>249</v>
      </c>
      <c r="E13" s="109"/>
      <c r="F13" s="109"/>
      <c r="G13" s="109"/>
      <c r="H13" s="108"/>
      <c r="I13" s="112">
        <v>1007</v>
      </c>
      <c r="J13" s="109">
        <v>4002</v>
      </c>
      <c r="K13" s="108"/>
      <c r="L13" s="113">
        <v>1140574</v>
      </c>
      <c r="M13" s="3"/>
    </row>
    <row r="14" spans="1:13" s="27" customFormat="1" ht="15.95" customHeight="1">
      <c r="A14" s="35"/>
      <c r="B14" s="109"/>
      <c r="C14" s="109"/>
      <c r="D14" s="109"/>
      <c r="E14" s="109"/>
      <c r="F14" s="109"/>
      <c r="G14" s="109"/>
      <c r="H14" s="108"/>
      <c r="I14" s="112"/>
      <c r="J14" s="109"/>
      <c r="K14" s="108"/>
      <c r="L14" s="113"/>
      <c r="M14" s="3"/>
    </row>
    <row r="15" spans="1:13" s="27" customFormat="1" ht="15.95" customHeight="1">
      <c r="A15" s="35"/>
      <c r="B15" s="109"/>
      <c r="C15" s="109"/>
      <c r="D15" s="109"/>
      <c r="E15" s="109"/>
      <c r="F15" s="109"/>
      <c r="G15" s="111"/>
      <c r="H15" s="108"/>
      <c r="I15" s="112"/>
      <c r="J15" s="109"/>
      <c r="K15" s="108"/>
      <c r="L15" s="113"/>
      <c r="M15" s="3"/>
    </row>
    <row r="16" spans="1:13" s="27" customFormat="1" ht="15.95" customHeight="1">
      <c r="A16" s="35"/>
      <c r="B16" s="109"/>
      <c r="C16" s="109"/>
      <c r="D16" s="109"/>
      <c r="E16" s="109"/>
      <c r="F16" s="109"/>
      <c r="G16" s="111"/>
      <c r="H16" s="108"/>
      <c r="I16" s="112"/>
      <c r="J16" s="109"/>
      <c r="K16" s="108"/>
      <c r="L16" s="113"/>
      <c r="M16" s="3"/>
    </row>
    <row r="17" spans="1:13" s="27" customFormat="1" ht="15.95" customHeight="1">
      <c r="A17" s="35"/>
      <c r="B17" s="109"/>
      <c r="C17" s="109"/>
      <c r="D17" s="109"/>
      <c r="E17" s="109"/>
      <c r="F17" s="109"/>
      <c r="G17" s="111"/>
      <c r="H17" s="108"/>
      <c r="I17" s="112"/>
      <c r="J17" s="109"/>
      <c r="K17" s="108"/>
      <c r="L17" s="113"/>
      <c r="M17" s="3"/>
    </row>
    <row r="18" spans="1:13" s="27" customFormat="1" ht="15.95" customHeight="1">
      <c r="A18" s="35"/>
      <c r="B18" s="6"/>
      <c r="C18" s="6"/>
      <c r="D18" s="6"/>
      <c r="E18" s="6"/>
      <c r="F18" s="6"/>
      <c r="G18" s="6"/>
      <c r="H18" s="1"/>
      <c r="I18" s="38"/>
      <c r="J18" s="6"/>
      <c r="K18" s="1"/>
      <c r="L18" s="7"/>
      <c r="M18" s="3"/>
    </row>
    <row r="19" spans="1:13" s="27" customFormat="1" ht="19.5" customHeight="1">
      <c r="A19" s="35"/>
      <c r="B19" s="1"/>
      <c r="C19" s="1"/>
      <c r="D19" s="1"/>
      <c r="E19" s="1"/>
      <c r="F19" s="1"/>
      <c r="G19" s="1"/>
      <c r="H19" s="1"/>
      <c r="I19" s="10"/>
      <c r="J19" s="1"/>
      <c r="K19" s="1"/>
      <c r="L19" s="1"/>
      <c r="M19" s="3"/>
    </row>
    <row r="20" spans="1:13" s="27" customFormat="1" ht="39.75" customHeight="1">
      <c r="A20" s="35" t="s">
        <v>69</v>
      </c>
      <c r="B20" s="2" t="s">
        <v>30</v>
      </c>
      <c r="C20" s="1"/>
      <c r="D20" s="1"/>
      <c r="E20" s="1"/>
      <c r="F20" s="1"/>
      <c r="G20" s="1"/>
      <c r="H20" s="1"/>
      <c r="I20" s="150" t="s">
        <v>36</v>
      </c>
      <c r="J20" s="150"/>
      <c r="K20" s="1"/>
      <c r="L20" s="1"/>
      <c r="M20" s="3"/>
    </row>
    <row r="21" spans="1:13" s="27" customFormat="1" ht="8.1" customHeight="1">
      <c r="A21" s="35"/>
      <c r="B21" s="2"/>
      <c r="C21" s="1"/>
      <c r="D21" s="1"/>
      <c r="E21" s="1"/>
      <c r="F21" s="1"/>
      <c r="G21" s="1"/>
      <c r="H21" s="1"/>
      <c r="I21" s="101"/>
      <c r="J21" s="5"/>
      <c r="K21" s="1"/>
      <c r="L21" s="1"/>
      <c r="M21" s="3"/>
    </row>
    <row r="22" spans="1:13" s="27" customFormat="1" ht="18" customHeight="1">
      <c r="A22" s="35"/>
      <c r="B22" s="142" t="s">
        <v>28</v>
      </c>
      <c r="C22" s="142" t="s">
        <v>26</v>
      </c>
      <c r="D22" s="142" t="s">
        <v>25</v>
      </c>
      <c r="E22" s="127" t="s">
        <v>114</v>
      </c>
      <c r="F22" s="142" t="s">
        <v>27</v>
      </c>
      <c r="G22" s="142" t="s">
        <v>24</v>
      </c>
      <c r="H22" s="1"/>
      <c r="I22" s="152" t="s">
        <v>31</v>
      </c>
      <c r="J22" s="142" t="s">
        <v>32</v>
      </c>
      <c r="K22" s="120"/>
      <c r="L22" s="142" t="s">
        <v>38</v>
      </c>
      <c r="M22" s="142" t="s">
        <v>137</v>
      </c>
    </row>
    <row r="23" spans="1:13" s="27" customFormat="1" ht="18" customHeight="1">
      <c r="A23" s="35"/>
      <c r="B23" s="143"/>
      <c r="C23" s="143"/>
      <c r="D23" s="143"/>
      <c r="E23" s="155"/>
      <c r="F23" s="143"/>
      <c r="G23" s="143"/>
      <c r="H23" s="1"/>
      <c r="I23" s="153"/>
      <c r="J23" s="143"/>
      <c r="K23" s="120"/>
      <c r="L23" s="143"/>
      <c r="M23" s="143"/>
    </row>
    <row r="24" spans="1:13" s="27" customFormat="1" ht="15.75">
      <c r="A24" s="35"/>
      <c r="B24" s="6" t="s">
        <v>173</v>
      </c>
      <c r="C24" s="6">
        <v>444444031</v>
      </c>
      <c r="D24" s="6" t="s">
        <v>176</v>
      </c>
      <c r="E24" s="6"/>
      <c r="F24" s="6"/>
      <c r="G24" s="6"/>
      <c r="H24" s="1"/>
      <c r="I24" s="38">
        <v>1001</v>
      </c>
      <c r="J24" s="6">
        <v>5088</v>
      </c>
      <c r="K24" s="1"/>
      <c r="L24" s="107">
        <v>26484324</v>
      </c>
      <c r="M24" s="118">
        <v>26484324</v>
      </c>
    </row>
    <row r="25" spans="1:13" s="27" customFormat="1" ht="15.75">
      <c r="A25" s="35"/>
      <c r="B25" s="6"/>
      <c r="C25" s="6"/>
      <c r="D25" s="6"/>
      <c r="E25" s="6"/>
      <c r="F25" s="6"/>
      <c r="G25" s="6"/>
      <c r="H25" s="1"/>
      <c r="I25" s="38"/>
      <c r="J25" s="6"/>
      <c r="K25" s="1"/>
      <c r="L25" s="107"/>
      <c r="M25" s="118"/>
    </row>
    <row r="26" spans="1:13" s="27" customFormat="1" ht="15.75">
      <c r="A26" s="35"/>
      <c r="B26" s="6"/>
      <c r="C26" s="6"/>
      <c r="D26" s="6"/>
      <c r="E26" s="6"/>
      <c r="F26" s="6"/>
      <c r="G26" s="6"/>
      <c r="H26" s="1"/>
      <c r="I26" s="38"/>
      <c r="J26" s="6"/>
      <c r="K26" s="1"/>
      <c r="L26" s="107"/>
      <c r="M26" s="118"/>
    </row>
    <row r="27" spans="1:13" s="27" customFormat="1" ht="15.75">
      <c r="A27" s="35"/>
      <c r="B27" s="6"/>
      <c r="C27" s="6"/>
      <c r="D27" s="6"/>
      <c r="E27" s="6"/>
      <c r="F27" s="6"/>
      <c r="G27" s="6"/>
      <c r="H27" s="1"/>
      <c r="I27" s="38"/>
      <c r="J27" s="6"/>
      <c r="K27" s="1"/>
      <c r="L27" s="107"/>
      <c r="M27" s="118"/>
    </row>
    <row r="28" spans="1:13" s="27" customFormat="1" ht="15.75">
      <c r="A28" s="35"/>
      <c r="B28" s="1"/>
      <c r="C28" s="1"/>
      <c r="D28" s="1"/>
      <c r="E28" s="1"/>
      <c r="F28" s="1"/>
      <c r="G28" s="1"/>
      <c r="H28" s="1"/>
      <c r="I28" s="10"/>
      <c r="J28" s="1"/>
      <c r="K28" s="1"/>
      <c r="L28" s="1"/>
      <c r="M28" s="3"/>
    </row>
    <row r="29" spans="1:13" s="27" customFormat="1" ht="15.95" customHeight="1">
      <c r="A29" s="35"/>
      <c r="B29" s="3" t="s">
        <v>72</v>
      </c>
      <c r="C29" s="1"/>
      <c r="D29" s="1"/>
      <c r="E29" s="1"/>
      <c r="F29" s="1"/>
      <c r="G29" s="1"/>
      <c r="H29" s="1"/>
      <c r="I29" s="10"/>
      <c r="J29" s="1"/>
      <c r="K29" s="1"/>
      <c r="L29" s="30">
        <f>SUM(L24:L28)</f>
        <v>26484324</v>
      </c>
      <c r="M29" s="3"/>
    </row>
    <row r="30" spans="1:13" s="27" customFormat="1" ht="15.95" customHeight="1">
      <c r="A30" s="35"/>
      <c r="B30" s="1" t="s">
        <v>33</v>
      </c>
      <c r="C30" s="1"/>
      <c r="D30" s="1"/>
      <c r="E30" s="1"/>
      <c r="F30" s="1"/>
      <c r="G30" s="1"/>
      <c r="H30" s="1"/>
      <c r="I30" s="10"/>
      <c r="J30" s="1"/>
      <c r="K30" s="1"/>
      <c r="L30" s="1"/>
      <c r="M30" s="3"/>
    </row>
    <row r="31" spans="1:13" s="27" customFormat="1" ht="15.95" customHeight="1">
      <c r="A31" s="35"/>
      <c r="B31" s="1" t="s">
        <v>34</v>
      </c>
      <c r="C31" s="1"/>
      <c r="D31" s="1"/>
      <c r="E31" s="1"/>
      <c r="F31" s="1"/>
      <c r="G31" s="1"/>
      <c r="H31" s="1"/>
      <c r="I31" s="10"/>
      <c r="J31" s="1"/>
      <c r="K31" s="1"/>
      <c r="L31" s="1"/>
      <c r="M31" s="3"/>
    </row>
    <row r="32" spans="1:13" s="27" customFormat="1" ht="9.9499999999999993" customHeight="1">
      <c r="A32" s="35"/>
      <c r="B32" s="1"/>
      <c r="C32" s="1"/>
      <c r="D32" s="1"/>
      <c r="E32" s="1"/>
      <c r="F32" s="1"/>
      <c r="G32" s="1"/>
      <c r="H32" s="1"/>
      <c r="I32" s="10"/>
      <c r="J32" s="1"/>
      <c r="K32" s="1"/>
      <c r="L32" s="1"/>
      <c r="M32" s="3"/>
    </row>
    <row r="33" spans="1:13" s="27" customFormat="1" ht="15" customHeight="1">
      <c r="A33" s="37" t="s">
        <v>70</v>
      </c>
      <c r="B33" s="131" t="s">
        <v>66</v>
      </c>
      <c r="C33" s="131"/>
      <c r="D33" s="1"/>
      <c r="E33" s="1"/>
      <c r="F33" s="29"/>
      <c r="G33" s="29"/>
      <c r="H33" s="29"/>
      <c r="I33" s="102"/>
      <c r="J33" s="29"/>
      <c r="K33" s="29"/>
      <c r="L33" s="29"/>
      <c r="M33" s="3"/>
    </row>
    <row r="34" spans="1:13" s="27" customFormat="1" ht="10.5" customHeight="1">
      <c r="A34" s="37"/>
      <c r="B34" s="19"/>
      <c r="C34" s="19"/>
      <c r="D34" s="1"/>
      <c r="E34" s="1"/>
      <c r="F34" s="29"/>
      <c r="G34" s="29"/>
      <c r="H34" s="29"/>
      <c r="I34" s="102"/>
      <c r="J34" s="29"/>
      <c r="K34" s="29"/>
      <c r="L34" s="29"/>
      <c r="M34" s="3"/>
    </row>
    <row r="35" spans="1:13" s="27" customFormat="1" ht="15.75">
      <c r="A35" s="35"/>
      <c r="B35" s="142" t="s">
        <v>28</v>
      </c>
      <c r="C35" s="142" t="s">
        <v>26</v>
      </c>
      <c r="D35" s="142" t="s">
        <v>113</v>
      </c>
      <c r="E35" s="127" t="s">
        <v>114</v>
      </c>
      <c r="F35" s="142" t="s">
        <v>27</v>
      </c>
      <c r="G35" s="142" t="s">
        <v>24</v>
      </c>
      <c r="H35" s="144" t="s">
        <v>138</v>
      </c>
      <c r="I35" s="145"/>
      <c r="J35" s="144" t="s">
        <v>139</v>
      </c>
      <c r="K35" s="145"/>
      <c r="L35" s="127" t="s">
        <v>140</v>
      </c>
      <c r="M35" s="127" t="s">
        <v>141</v>
      </c>
    </row>
    <row r="36" spans="1:13" s="27" customFormat="1" ht="15.75">
      <c r="A36" s="35"/>
      <c r="B36" s="143"/>
      <c r="C36" s="143"/>
      <c r="D36" s="143"/>
      <c r="E36" s="155"/>
      <c r="F36" s="143"/>
      <c r="G36" s="143"/>
      <c r="H36" s="146"/>
      <c r="I36" s="147"/>
      <c r="J36" s="146"/>
      <c r="K36" s="147"/>
      <c r="L36" s="128"/>
      <c r="M36" s="128"/>
    </row>
    <row r="37" spans="1:13" s="27" customFormat="1" ht="15.75">
      <c r="A37" s="35"/>
      <c r="B37" s="6"/>
      <c r="C37" s="6"/>
      <c r="D37" s="6"/>
      <c r="E37" s="6"/>
      <c r="F37" s="6"/>
      <c r="G37" s="6"/>
      <c r="H37" s="129"/>
      <c r="I37" s="129"/>
      <c r="J37" s="129"/>
      <c r="K37" s="129"/>
      <c r="L37" s="7"/>
      <c r="M37" s="7"/>
    </row>
    <row r="38" spans="1:13" s="27" customFormat="1" ht="15.75">
      <c r="A38" s="35"/>
      <c r="B38" s="6"/>
      <c r="C38" s="6"/>
      <c r="D38" s="6"/>
      <c r="E38" s="6"/>
      <c r="F38" s="6"/>
      <c r="G38" s="6"/>
      <c r="H38" s="129"/>
      <c r="I38" s="129"/>
      <c r="J38" s="129"/>
      <c r="K38" s="129"/>
      <c r="L38" s="7"/>
      <c r="M38" s="7"/>
    </row>
    <row r="39" spans="1:13" s="27" customFormat="1" ht="15.75">
      <c r="A39" s="35"/>
      <c r="B39" s="6"/>
      <c r="C39" s="6"/>
      <c r="D39" s="6"/>
      <c r="E39" s="6"/>
      <c r="F39" s="6"/>
      <c r="G39" s="6"/>
      <c r="H39" s="129"/>
      <c r="I39" s="129"/>
      <c r="J39" s="129"/>
      <c r="K39" s="129"/>
      <c r="L39" s="7"/>
      <c r="M39" s="7"/>
    </row>
    <row r="40" spans="1:13" s="27" customFormat="1" ht="15.75">
      <c r="A40" s="35"/>
      <c r="B40" s="6"/>
      <c r="C40" s="6"/>
      <c r="D40" s="6"/>
      <c r="E40" s="6"/>
      <c r="F40" s="6"/>
      <c r="G40" s="36"/>
      <c r="H40" s="129"/>
      <c r="I40" s="129"/>
      <c r="J40" s="154"/>
      <c r="K40" s="154"/>
      <c r="L40" s="7"/>
      <c r="M40" s="7"/>
    </row>
    <row r="41" spans="1:13" s="27" customFormat="1" ht="15.75">
      <c r="A41" s="35"/>
      <c r="B41" s="6"/>
      <c r="C41" s="6"/>
      <c r="D41" s="6"/>
      <c r="E41" s="6"/>
      <c r="F41" s="6"/>
      <c r="G41" s="6"/>
      <c r="H41" s="129"/>
      <c r="I41" s="129"/>
      <c r="J41" s="129"/>
      <c r="K41" s="129"/>
      <c r="L41" s="7"/>
      <c r="M41" s="7"/>
    </row>
    <row r="42" spans="1:13" s="27" customFormat="1" ht="15.75">
      <c r="A42" s="35"/>
      <c r="B42" s="6"/>
      <c r="C42" s="6"/>
      <c r="D42" s="6"/>
      <c r="E42" s="6"/>
      <c r="F42" s="6"/>
      <c r="G42" s="6"/>
      <c r="H42" s="129"/>
      <c r="I42" s="129"/>
      <c r="J42" s="129"/>
      <c r="K42" s="129"/>
      <c r="L42" s="7"/>
      <c r="M42" s="7"/>
    </row>
    <row r="43" spans="1:13" s="27" customFormat="1" ht="15.75">
      <c r="A43" s="35"/>
      <c r="B43" s="25"/>
      <c r="C43" s="25"/>
      <c r="D43" s="25"/>
      <c r="E43" s="25"/>
      <c r="F43" s="25"/>
      <c r="G43" s="25"/>
      <c r="H43" s="25"/>
      <c r="I43" s="103"/>
      <c r="J43" s="25"/>
      <c r="K43" s="25"/>
      <c r="L43" s="25"/>
      <c r="M43" s="25"/>
    </row>
    <row r="44" spans="1:13" s="27" customFormat="1" ht="15.75">
      <c r="A44" s="35" t="s">
        <v>71</v>
      </c>
      <c r="B44" s="25" t="s">
        <v>67</v>
      </c>
      <c r="C44" s="25"/>
      <c r="D44" s="25"/>
      <c r="E44" s="25"/>
      <c r="F44" s="25"/>
      <c r="G44" s="25"/>
      <c r="H44" s="25"/>
      <c r="I44" s="103"/>
      <c r="J44" s="25"/>
      <c r="K44" s="25"/>
      <c r="L44" s="25"/>
      <c r="M44" s="25"/>
    </row>
    <row r="45" spans="1:13" s="27" customFormat="1" ht="9.75" customHeight="1">
      <c r="A45" s="1"/>
      <c r="B45" s="25"/>
      <c r="C45" s="25"/>
      <c r="D45" s="25"/>
      <c r="E45" s="25"/>
      <c r="F45" s="25"/>
      <c r="G45" s="25"/>
      <c r="H45" s="25"/>
      <c r="I45" s="103"/>
      <c r="J45" s="25"/>
      <c r="K45" s="25"/>
      <c r="L45" s="25"/>
      <c r="M45" s="25"/>
    </row>
    <row r="46" spans="1:13" s="27" customFormat="1" ht="39.75" customHeight="1">
      <c r="A46" s="1"/>
      <c r="B46" s="151" t="s">
        <v>142</v>
      </c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</row>
    <row r="47" spans="1:13" s="27" customFormat="1" ht="16.5" customHeight="1">
      <c r="A47" s="1"/>
      <c r="B47" s="1"/>
      <c r="C47" s="29"/>
      <c r="D47" s="29"/>
      <c r="E47" s="29"/>
      <c r="F47" s="29"/>
      <c r="G47" s="29"/>
      <c r="H47" s="29"/>
      <c r="I47" s="102"/>
      <c r="J47" s="29"/>
      <c r="K47" s="29"/>
      <c r="L47" s="29"/>
      <c r="M47" s="3"/>
    </row>
    <row r="48" spans="1:13" s="27" customFormat="1" ht="18" customHeight="1">
      <c r="A48" s="1"/>
      <c r="B48" s="148" t="s">
        <v>28</v>
      </c>
      <c r="C48" s="148" t="s">
        <v>26</v>
      </c>
      <c r="D48" s="148" t="s">
        <v>25</v>
      </c>
      <c r="E48" s="127" t="s">
        <v>114</v>
      </c>
      <c r="F48" s="148" t="s">
        <v>27</v>
      </c>
      <c r="G48" s="148" t="s">
        <v>24</v>
      </c>
      <c r="H48" s="144" t="s">
        <v>138</v>
      </c>
      <c r="I48" s="145"/>
      <c r="J48" s="144" t="s">
        <v>139</v>
      </c>
      <c r="K48" s="145"/>
      <c r="L48" s="127" t="s">
        <v>140</v>
      </c>
      <c r="M48" s="127" t="s">
        <v>141</v>
      </c>
    </row>
    <row r="49" spans="1:257" s="27" customFormat="1" ht="18" customHeight="1">
      <c r="A49" s="1"/>
      <c r="B49" s="149"/>
      <c r="C49" s="149"/>
      <c r="D49" s="149"/>
      <c r="E49" s="155"/>
      <c r="F49" s="149"/>
      <c r="G49" s="149"/>
      <c r="H49" s="146"/>
      <c r="I49" s="147"/>
      <c r="J49" s="146"/>
      <c r="K49" s="147"/>
      <c r="L49" s="128"/>
      <c r="M49" s="128"/>
    </row>
    <row r="50" spans="1:257" s="108" customFormat="1" ht="15.95" customHeight="1">
      <c r="B50" s="70"/>
      <c r="C50" s="109"/>
      <c r="D50" s="109"/>
      <c r="F50" s="114"/>
      <c r="G50" s="110"/>
      <c r="H50" s="156"/>
      <c r="I50" s="156"/>
      <c r="J50" s="156"/>
      <c r="K50" s="156"/>
      <c r="L50" s="109"/>
      <c r="M50" s="109"/>
    </row>
    <row r="51" spans="1:257" s="27" customFormat="1" ht="15.95" customHeight="1">
      <c r="A51" s="1"/>
      <c r="B51" s="6"/>
      <c r="C51" s="6"/>
      <c r="D51" s="6"/>
      <c r="E51" s="6"/>
      <c r="F51" s="6"/>
      <c r="G51" s="6"/>
      <c r="H51" s="129"/>
      <c r="I51" s="129"/>
      <c r="J51" s="129"/>
      <c r="K51" s="129"/>
      <c r="L51" s="7"/>
      <c r="M51" s="7"/>
    </row>
    <row r="52" spans="1:257" s="27" customFormat="1" ht="15.95" customHeight="1">
      <c r="A52" s="1"/>
      <c r="B52" s="6"/>
      <c r="C52" s="6"/>
      <c r="D52" s="6"/>
      <c r="E52" s="6"/>
      <c r="F52" s="6"/>
      <c r="G52" s="6"/>
      <c r="H52" s="129"/>
      <c r="I52" s="129"/>
      <c r="J52" s="129"/>
      <c r="K52" s="129"/>
      <c r="L52" s="7"/>
      <c r="M52" s="7"/>
    </row>
    <row r="53" spans="1:257" s="27" customFormat="1" ht="15.95" customHeight="1">
      <c r="A53" s="1"/>
      <c r="B53" s="6"/>
      <c r="C53" s="6"/>
      <c r="D53" s="6"/>
      <c r="E53" s="6"/>
      <c r="F53" s="6"/>
      <c r="G53" s="6"/>
      <c r="H53" s="129"/>
      <c r="I53" s="129"/>
      <c r="J53" s="129"/>
      <c r="K53" s="129"/>
      <c r="L53" s="7"/>
      <c r="M53" s="7"/>
    </row>
    <row r="54" spans="1:257" s="27" customFormat="1" ht="15.95" customHeight="1">
      <c r="A54" s="1"/>
      <c r="B54" s="6"/>
      <c r="C54" s="6"/>
      <c r="D54" s="6"/>
      <c r="E54" s="6"/>
      <c r="F54" s="6"/>
      <c r="G54" s="6"/>
      <c r="H54" s="129"/>
      <c r="I54" s="129"/>
      <c r="J54" s="129"/>
      <c r="K54" s="129"/>
      <c r="L54" s="7"/>
      <c r="M54" s="7"/>
    </row>
    <row r="55" spans="1:257" s="27" customFormat="1" ht="15.95" customHeight="1">
      <c r="A55" s="1"/>
      <c r="B55" s="6"/>
      <c r="C55" s="6"/>
      <c r="D55" s="6"/>
      <c r="E55" s="6"/>
      <c r="F55" s="6"/>
      <c r="G55" s="6"/>
      <c r="H55" s="129"/>
      <c r="I55" s="129"/>
      <c r="J55" s="129"/>
      <c r="K55" s="129"/>
      <c r="L55" s="7"/>
      <c r="M55" s="7"/>
    </row>
    <row r="56" spans="1:257" s="27" customFormat="1" ht="15.75" thickBot="1">
      <c r="A56" s="1"/>
      <c r="B56" s="1"/>
      <c r="C56" s="1"/>
      <c r="D56" s="1"/>
      <c r="E56" s="1"/>
      <c r="F56" s="1"/>
      <c r="G56" s="1"/>
      <c r="H56" s="1"/>
      <c r="I56" s="10"/>
      <c r="J56" s="1"/>
      <c r="K56" s="1"/>
      <c r="L56" s="30"/>
      <c r="M56" s="3"/>
    </row>
    <row r="57" spans="1:257" s="1" customFormat="1" ht="12.75" customHeight="1">
      <c r="A57" s="132" t="s">
        <v>21</v>
      </c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4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  <c r="IT57" s="27"/>
      <c r="IU57" s="27"/>
      <c r="IV57" s="27"/>
      <c r="IW57" s="27"/>
    </row>
    <row r="58" spans="1:257" s="27" customFormat="1" ht="12.75" customHeight="1">
      <c r="A58" s="135"/>
      <c r="B58" s="136"/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7"/>
    </row>
    <row r="59" spans="1:257" s="27" customFormat="1" ht="12.75" customHeight="1">
      <c r="A59" s="135"/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7"/>
    </row>
    <row r="60" spans="1:257" s="27" customFormat="1" ht="12.75" customHeight="1" thickBo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40"/>
    </row>
    <row r="61" spans="1:257" s="27" customFormat="1">
      <c r="A61" s="9"/>
      <c r="B61" s="1"/>
      <c r="C61" s="1"/>
      <c r="D61" s="1"/>
      <c r="E61" s="1"/>
      <c r="F61" s="1"/>
      <c r="G61" s="1"/>
      <c r="H61" s="1"/>
      <c r="I61" s="10"/>
      <c r="J61" s="1"/>
      <c r="K61" s="3"/>
      <c r="L61" s="10"/>
      <c r="M61" s="11"/>
    </row>
    <row r="62" spans="1:257" s="27" customFormat="1" ht="15.95" customHeight="1">
      <c r="A62" s="12"/>
      <c r="B62" s="13" t="s">
        <v>22</v>
      </c>
      <c r="C62" s="13"/>
      <c r="D62" s="13"/>
      <c r="E62" s="13"/>
      <c r="F62" s="17" t="s">
        <v>12</v>
      </c>
      <c r="G62" s="13"/>
      <c r="H62" s="31"/>
      <c r="I62" s="104"/>
      <c r="J62" s="31"/>
      <c r="K62" s="31"/>
      <c r="L62" s="10"/>
      <c r="M62" s="11"/>
    </row>
    <row r="63" spans="1:257" s="27" customFormat="1" ht="15.95" customHeight="1">
      <c r="A63" s="12"/>
      <c r="B63" s="8" t="s">
        <v>39</v>
      </c>
      <c r="C63" s="14"/>
      <c r="D63" s="14"/>
      <c r="E63" s="14"/>
      <c r="F63" s="8" t="s">
        <v>40</v>
      </c>
      <c r="G63" s="14"/>
      <c r="H63" s="32"/>
      <c r="I63" s="105"/>
      <c r="J63" s="32"/>
      <c r="K63" s="32"/>
      <c r="L63" s="10"/>
      <c r="M63" s="11"/>
    </row>
    <row r="64" spans="1:257" s="27" customFormat="1" ht="8.1" customHeight="1">
      <c r="A64" s="12"/>
      <c r="B64" s="8"/>
      <c r="C64" s="8"/>
      <c r="D64" s="8"/>
      <c r="E64" s="8"/>
      <c r="F64" s="8"/>
      <c r="G64" s="8"/>
      <c r="H64" s="1"/>
      <c r="I64" s="10"/>
      <c r="J64" s="1"/>
      <c r="K64" s="3"/>
      <c r="L64" s="10"/>
      <c r="M64" s="11"/>
    </row>
    <row r="65" spans="1:13" s="27" customFormat="1" ht="15.95" customHeight="1">
      <c r="A65" s="20">
        <v>1</v>
      </c>
      <c r="B65" s="21" t="s">
        <v>41</v>
      </c>
      <c r="C65" s="22"/>
      <c r="D65" s="22">
        <v>30</v>
      </c>
      <c r="E65" s="22"/>
      <c r="F65" s="21" t="s">
        <v>13</v>
      </c>
      <c r="G65" s="8"/>
      <c r="H65" s="1"/>
      <c r="I65" s="10"/>
      <c r="J65" s="1"/>
      <c r="K65" s="3"/>
      <c r="L65" s="10"/>
      <c r="M65" s="11"/>
    </row>
    <row r="66" spans="1:13" s="27" customFormat="1" ht="15.95" customHeight="1">
      <c r="A66" s="20">
        <v>2</v>
      </c>
      <c r="B66" s="21" t="s">
        <v>0</v>
      </c>
      <c r="C66" s="22"/>
      <c r="D66" s="22">
        <v>31</v>
      </c>
      <c r="E66" s="22"/>
      <c r="F66" s="21" t="s">
        <v>14</v>
      </c>
      <c r="G66" s="8"/>
      <c r="H66" s="1"/>
      <c r="I66" s="10"/>
      <c r="J66" s="1"/>
      <c r="K66" s="3"/>
      <c r="L66" s="10"/>
      <c r="M66" s="11"/>
    </row>
    <row r="67" spans="1:13" s="27" customFormat="1" ht="15.95" customHeight="1">
      <c r="A67" s="20">
        <v>3</v>
      </c>
      <c r="B67" s="21" t="s">
        <v>42</v>
      </c>
      <c r="C67" s="22"/>
      <c r="D67" s="22">
        <v>32</v>
      </c>
      <c r="E67" s="22"/>
      <c r="F67" s="21" t="s">
        <v>42</v>
      </c>
      <c r="G67" s="8"/>
      <c r="H67" s="1"/>
      <c r="I67" s="10"/>
      <c r="J67" s="1"/>
      <c r="K67" s="3"/>
      <c r="L67" s="10"/>
      <c r="M67" s="11"/>
    </row>
    <row r="68" spans="1:13" s="27" customFormat="1" ht="15.95" customHeight="1">
      <c r="A68" s="20">
        <v>4</v>
      </c>
      <c r="B68" s="21" t="s">
        <v>1</v>
      </c>
      <c r="C68" s="22"/>
      <c r="D68" s="22">
        <v>33</v>
      </c>
      <c r="E68" s="22"/>
      <c r="F68" s="21" t="s">
        <v>1</v>
      </c>
      <c r="G68" s="8"/>
      <c r="H68" s="1"/>
      <c r="I68" s="10"/>
      <c r="J68" s="1"/>
      <c r="K68" s="3"/>
      <c r="L68" s="10"/>
      <c r="M68" s="11"/>
    </row>
    <row r="69" spans="1:13" s="27" customFormat="1" ht="15.95" customHeight="1">
      <c r="A69" s="20">
        <v>5</v>
      </c>
      <c r="B69" s="21" t="s">
        <v>7</v>
      </c>
      <c r="C69" s="22"/>
      <c r="D69" s="22">
        <v>34</v>
      </c>
      <c r="E69" s="22"/>
      <c r="F69" s="21" t="s">
        <v>7</v>
      </c>
      <c r="G69" s="8"/>
      <c r="H69" s="1"/>
      <c r="I69" s="10"/>
      <c r="J69" s="1"/>
      <c r="K69" s="3"/>
      <c r="L69" s="10"/>
      <c r="M69" s="11"/>
    </row>
    <row r="70" spans="1:13" s="27" customFormat="1" ht="15.95" customHeight="1">
      <c r="A70" s="20">
        <v>6</v>
      </c>
      <c r="B70" s="21" t="s">
        <v>8</v>
      </c>
      <c r="C70" s="22"/>
      <c r="D70" s="22">
        <v>35</v>
      </c>
      <c r="E70" s="22"/>
      <c r="F70" s="21" t="s">
        <v>8</v>
      </c>
      <c r="G70" s="8"/>
      <c r="H70" s="1"/>
      <c r="I70" s="10"/>
      <c r="J70" s="1"/>
      <c r="K70" s="3"/>
      <c r="L70" s="10"/>
      <c r="M70" s="11"/>
    </row>
    <row r="71" spans="1:13" s="27" customFormat="1" ht="15.95" customHeight="1">
      <c r="A71" s="20">
        <v>7</v>
      </c>
      <c r="B71" s="21" t="s">
        <v>43</v>
      </c>
      <c r="C71" s="22"/>
      <c r="D71" s="22">
        <v>36</v>
      </c>
      <c r="E71" s="22"/>
      <c r="F71" s="21" t="s">
        <v>43</v>
      </c>
      <c r="G71" s="8"/>
      <c r="H71" s="1"/>
      <c r="I71" s="10"/>
      <c r="J71" s="1"/>
      <c r="K71" s="3"/>
      <c r="L71" s="10"/>
      <c r="M71" s="11"/>
    </row>
    <row r="72" spans="1:13" s="27" customFormat="1" ht="15.95" customHeight="1">
      <c r="A72" s="20">
        <v>8</v>
      </c>
      <c r="B72" s="21" t="s">
        <v>4</v>
      </c>
      <c r="C72" s="22"/>
      <c r="D72" s="22">
        <v>37</v>
      </c>
      <c r="E72" s="22"/>
      <c r="F72" s="21" t="s">
        <v>4</v>
      </c>
      <c r="G72" s="8"/>
      <c r="H72" s="1"/>
      <c r="I72" s="10"/>
      <c r="J72" s="1"/>
      <c r="K72" s="3"/>
      <c r="L72" s="10"/>
      <c r="M72" s="11"/>
    </row>
    <row r="73" spans="1:13" s="27" customFormat="1" ht="15.95" customHeight="1">
      <c r="A73" s="20">
        <v>9</v>
      </c>
      <c r="B73" s="21" t="s">
        <v>3</v>
      </c>
      <c r="C73" s="22"/>
      <c r="D73" s="22">
        <v>38</v>
      </c>
      <c r="E73" s="22"/>
      <c r="F73" s="21" t="s">
        <v>3</v>
      </c>
      <c r="G73" s="8"/>
      <c r="H73" s="1"/>
      <c r="I73" s="10"/>
      <c r="J73" s="1"/>
      <c r="K73" s="3"/>
      <c r="L73" s="10"/>
      <c r="M73" s="11"/>
    </row>
    <row r="74" spans="1:13" s="27" customFormat="1" ht="15.95" customHeight="1">
      <c r="A74" s="20">
        <v>10</v>
      </c>
      <c r="B74" s="21" t="s">
        <v>6</v>
      </c>
      <c r="C74" s="21"/>
      <c r="D74" s="22">
        <v>39</v>
      </c>
      <c r="E74" s="22"/>
      <c r="F74" s="21" t="s">
        <v>6</v>
      </c>
      <c r="G74" s="8"/>
      <c r="H74" s="1"/>
      <c r="I74" s="10"/>
      <c r="J74" s="1"/>
      <c r="K74" s="3"/>
      <c r="L74" s="10"/>
      <c r="M74" s="11"/>
    </row>
    <row r="75" spans="1:13" s="27" customFormat="1" ht="15.95" customHeight="1">
      <c r="A75" s="20">
        <v>11</v>
      </c>
      <c r="B75" s="21" t="s">
        <v>2</v>
      </c>
      <c r="C75" s="21"/>
      <c r="D75" s="22">
        <v>40</v>
      </c>
      <c r="E75" s="22"/>
      <c r="F75" s="21" t="s">
        <v>2</v>
      </c>
      <c r="G75" s="17"/>
      <c r="H75" s="1"/>
      <c r="I75" s="10"/>
      <c r="J75" s="1"/>
      <c r="K75" s="3"/>
      <c r="L75" s="10"/>
      <c r="M75" s="11"/>
    </row>
    <row r="76" spans="1:13" s="27" customFormat="1" ht="15.95" customHeight="1">
      <c r="A76" s="20">
        <v>12</v>
      </c>
      <c r="B76" s="21" t="s">
        <v>44</v>
      </c>
      <c r="C76" s="21"/>
      <c r="D76" s="22">
        <v>41</v>
      </c>
      <c r="E76" s="22"/>
      <c r="F76" s="26" t="s">
        <v>45</v>
      </c>
      <c r="G76" s="14"/>
      <c r="H76" s="32"/>
      <c r="I76" s="105"/>
      <c r="J76" s="32"/>
      <c r="K76" s="32"/>
      <c r="L76" s="10"/>
      <c r="M76" s="11"/>
    </row>
    <row r="77" spans="1:13" s="27" customFormat="1" ht="15.95" customHeight="1">
      <c r="A77" s="20">
        <v>13</v>
      </c>
      <c r="B77" s="21" t="s">
        <v>46</v>
      </c>
      <c r="C77" s="21"/>
      <c r="D77" s="22">
        <v>42</v>
      </c>
      <c r="E77" s="22"/>
      <c r="F77" s="26" t="s">
        <v>46</v>
      </c>
      <c r="G77" s="15"/>
      <c r="H77" s="33"/>
      <c r="I77" s="105"/>
      <c r="J77" s="33"/>
      <c r="K77" s="3"/>
      <c r="L77" s="10"/>
      <c r="M77" s="11"/>
    </row>
    <row r="78" spans="1:13" s="27" customFormat="1" ht="15.95" customHeight="1">
      <c r="A78" s="20">
        <v>14</v>
      </c>
      <c r="B78" s="21" t="s">
        <v>10</v>
      </c>
      <c r="C78" s="21"/>
      <c r="D78" s="22">
        <v>43</v>
      </c>
      <c r="E78" s="22"/>
      <c r="F78" s="21" t="s">
        <v>10</v>
      </c>
      <c r="G78" s="8"/>
      <c r="H78" s="1"/>
      <c r="I78" s="10"/>
      <c r="J78" s="1"/>
      <c r="K78" s="3"/>
      <c r="L78" s="10"/>
      <c r="M78" s="11"/>
    </row>
    <row r="79" spans="1:13" s="27" customFormat="1" ht="15.95" customHeight="1">
      <c r="A79" s="20">
        <v>15</v>
      </c>
      <c r="B79" s="21" t="s">
        <v>47</v>
      </c>
      <c r="C79" s="21"/>
      <c r="D79" s="22">
        <v>44</v>
      </c>
      <c r="E79" s="22"/>
      <c r="F79" s="21" t="s">
        <v>47</v>
      </c>
      <c r="G79" s="8"/>
      <c r="H79" s="1"/>
      <c r="I79" s="10"/>
      <c r="J79" s="1"/>
      <c r="K79" s="3"/>
      <c r="L79" s="10"/>
      <c r="M79" s="11"/>
    </row>
    <row r="80" spans="1:13" s="27" customFormat="1" ht="15.95" customHeight="1">
      <c r="A80" s="20">
        <v>16</v>
      </c>
      <c r="B80" s="21" t="s">
        <v>9</v>
      </c>
      <c r="C80" s="21"/>
      <c r="D80" s="22">
        <v>45</v>
      </c>
      <c r="E80" s="22"/>
      <c r="F80" s="21" t="s">
        <v>9</v>
      </c>
      <c r="G80" s="8"/>
      <c r="H80" s="1"/>
      <c r="I80" s="10"/>
      <c r="J80" s="1"/>
      <c r="K80" s="3"/>
      <c r="L80" s="10"/>
      <c r="M80" s="11"/>
    </row>
    <row r="81" spans="1:13" s="27" customFormat="1" ht="15.95" customHeight="1">
      <c r="A81" s="20">
        <v>17</v>
      </c>
      <c r="B81" s="21" t="s">
        <v>16</v>
      </c>
      <c r="C81" s="21"/>
      <c r="D81" s="22">
        <v>46</v>
      </c>
      <c r="E81" s="22"/>
      <c r="F81" s="21" t="s">
        <v>16</v>
      </c>
      <c r="G81" s="8"/>
      <c r="H81" s="1"/>
      <c r="I81" s="10"/>
      <c r="J81" s="1"/>
      <c r="K81" s="3"/>
      <c r="L81" s="10"/>
      <c r="M81" s="11"/>
    </row>
    <row r="82" spans="1:13" s="27" customFormat="1" ht="15.95" customHeight="1">
      <c r="A82" s="20">
        <v>18</v>
      </c>
      <c r="B82" s="21" t="s">
        <v>48</v>
      </c>
      <c r="C82" s="21"/>
      <c r="D82" s="22">
        <v>47</v>
      </c>
      <c r="E82" s="22"/>
      <c r="F82" s="21" t="s">
        <v>15</v>
      </c>
      <c r="G82" s="8"/>
      <c r="H82" s="1"/>
      <c r="I82" s="10"/>
      <c r="J82" s="1"/>
      <c r="K82" s="3"/>
      <c r="L82" s="10"/>
      <c r="M82" s="11"/>
    </row>
    <row r="83" spans="1:13" s="27" customFormat="1" ht="15.95" customHeight="1">
      <c r="A83" s="20">
        <v>19</v>
      </c>
      <c r="B83" s="21" t="s">
        <v>49</v>
      </c>
      <c r="C83" s="21"/>
      <c r="D83" s="22">
        <v>48</v>
      </c>
      <c r="E83" s="22"/>
      <c r="F83" s="21" t="s">
        <v>17</v>
      </c>
      <c r="G83" s="8"/>
      <c r="H83" s="1"/>
      <c r="I83" s="10"/>
      <c r="J83" s="1"/>
      <c r="K83" s="3"/>
      <c r="L83" s="10"/>
      <c r="M83" s="11"/>
    </row>
    <row r="84" spans="1:13" s="27" customFormat="1" ht="15.95" customHeight="1">
      <c r="A84" s="23">
        <v>20</v>
      </c>
      <c r="B84" s="21" t="s">
        <v>50</v>
      </c>
      <c r="C84" s="21"/>
      <c r="D84" s="22">
        <v>49</v>
      </c>
      <c r="E84" s="22"/>
      <c r="F84" s="21" t="s">
        <v>50</v>
      </c>
      <c r="G84" s="8"/>
      <c r="H84" s="1"/>
      <c r="I84" s="10"/>
      <c r="J84" s="1"/>
      <c r="K84" s="3"/>
      <c r="L84" s="10"/>
      <c r="M84" s="11"/>
    </row>
    <row r="85" spans="1:13" s="27" customFormat="1" ht="15.95" customHeight="1">
      <c r="A85" s="23">
        <v>21</v>
      </c>
      <c r="B85" s="21" t="s">
        <v>51</v>
      </c>
      <c r="C85" s="18"/>
      <c r="D85" s="22">
        <v>50</v>
      </c>
      <c r="E85" s="22"/>
      <c r="F85" s="21" t="s">
        <v>19</v>
      </c>
      <c r="G85" s="8"/>
      <c r="H85" s="1"/>
      <c r="I85" s="10"/>
      <c r="J85" s="1"/>
      <c r="K85" s="3"/>
      <c r="L85" s="10"/>
      <c r="M85" s="11"/>
    </row>
    <row r="86" spans="1:13" s="27" customFormat="1" ht="15.95" customHeight="1">
      <c r="A86" s="23">
        <v>22</v>
      </c>
      <c r="B86" s="21" t="s">
        <v>52</v>
      </c>
      <c r="C86" s="18"/>
      <c r="D86" s="22">
        <v>51</v>
      </c>
      <c r="E86" s="22"/>
      <c r="F86" s="21" t="s">
        <v>53</v>
      </c>
      <c r="G86" s="8"/>
      <c r="H86" s="1"/>
      <c r="I86" s="10"/>
      <c r="J86" s="1"/>
      <c r="K86" s="3"/>
      <c r="L86" s="10"/>
      <c r="M86" s="11"/>
    </row>
    <row r="87" spans="1:13" s="27" customFormat="1" ht="28.5">
      <c r="A87" s="23">
        <v>23</v>
      </c>
      <c r="B87" s="18" t="s">
        <v>54</v>
      </c>
      <c r="C87" s="18"/>
      <c r="D87" s="22">
        <v>52</v>
      </c>
      <c r="E87" s="22"/>
      <c r="F87" s="157" t="s">
        <v>55</v>
      </c>
      <c r="G87" s="157"/>
      <c r="H87" s="157"/>
      <c r="I87" s="157"/>
      <c r="J87" s="1"/>
      <c r="K87" s="3"/>
      <c r="L87" s="10"/>
      <c r="M87" s="11"/>
    </row>
    <row r="88" spans="1:13" s="27" customFormat="1" ht="15.95" customHeight="1">
      <c r="A88" s="20">
        <v>24</v>
      </c>
      <c r="B88" s="21" t="s">
        <v>56</v>
      </c>
      <c r="C88" s="21"/>
      <c r="D88" s="22">
        <v>53</v>
      </c>
      <c r="E88" s="22"/>
      <c r="F88" s="21" t="s">
        <v>56</v>
      </c>
      <c r="G88" s="8"/>
      <c r="H88" s="1"/>
      <c r="I88" s="10"/>
      <c r="J88" s="1"/>
      <c r="K88" s="3"/>
      <c r="L88" s="10"/>
      <c r="M88" s="11"/>
    </row>
    <row r="89" spans="1:13" s="27" customFormat="1" ht="15.95" customHeight="1">
      <c r="A89" s="20">
        <v>25</v>
      </c>
      <c r="B89" s="21" t="s">
        <v>57</v>
      </c>
      <c r="C89" s="21"/>
      <c r="D89" s="22">
        <v>54</v>
      </c>
      <c r="E89" s="22"/>
      <c r="F89" s="21" t="s">
        <v>57</v>
      </c>
      <c r="G89" s="8"/>
      <c r="H89" s="1"/>
      <c r="I89" s="10"/>
      <c r="J89" s="1"/>
      <c r="K89" s="3"/>
      <c r="L89" s="10"/>
      <c r="M89" s="11"/>
    </row>
    <row r="90" spans="1:13" s="27" customFormat="1" ht="15.95" customHeight="1">
      <c r="A90" s="20">
        <v>26</v>
      </c>
      <c r="B90" s="21" t="s">
        <v>5</v>
      </c>
      <c r="C90" s="21"/>
      <c r="D90" s="22">
        <v>55</v>
      </c>
      <c r="E90" s="22"/>
      <c r="F90" s="21" t="s">
        <v>5</v>
      </c>
      <c r="G90" s="8"/>
      <c r="H90" s="1"/>
      <c r="I90" s="10"/>
      <c r="J90" s="1"/>
      <c r="K90" s="3"/>
      <c r="L90" s="10"/>
      <c r="M90" s="11"/>
    </row>
    <row r="91" spans="1:13" s="27" customFormat="1" ht="15.95" customHeight="1">
      <c r="A91" s="20">
        <v>27</v>
      </c>
      <c r="B91" s="21" t="s">
        <v>23</v>
      </c>
      <c r="C91" s="21"/>
      <c r="D91" s="22">
        <v>56</v>
      </c>
      <c r="E91" s="22"/>
      <c r="F91" s="21" t="s">
        <v>18</v>
      </c>
      <c r="G91" s="8"/>
      <c r="H91" s="1"/>
      <c r="I91" s="10"/>
      <c r="J91" s="1"/>
      <c r="K91" s="3"/>
      <c r="L91" s="10"/>
      <c r="M91" s="11"/>
    </row>
    <row r="92" spans="1:13" s="27" customFormat="1" ht="15.95" customHeight="1">
      <c r="A92" s="20">
        <v>28</v>
      </c>
      <c r="B92" s="21" t="s">
        <v>58</v>
      </c>
      <c r="C92" s="21"/>
      <c r="D92" s="22">
        <v>57</v>
      </c>
      <c r="E92" s="22"/>
      <c r="F92" s="21" t="s">
        <v>58</v>
      </c>
      <c r="G92" s="8"/>
      <c r="H92" s="1"/>
      <c r="I92" s="10"/>
      <c r="J92" s="1"/>
      <c r="K92" s="3"/>
      <c r="L92" s="10"/>
      <c r="M92" s="11"/>
    </row>
    <row r="93" spans="1:13" s="27" customFormat="1" ht="15.95" customHeight="1">
      <c r="A93" s="20">
        <v>29</v>
      </c>
      <c r="B93" s="21" t="s">
        <v>11</v>
      </c>
      <c r="C93" s="21"/>
      <c r="D93" s="22">
        <v>58</v>
      </c>
      <c r="E93" s="22"/>
      <c r="F93" s="21" t="s">
        <v>20</v>
      </c>
      <c r="G93" s="8"/>
      <c r="H93" s="1"/>
      <c r="I93" s="10"/>
      <c r="J93" s="1"/>
      <c r="K93" s="3"/>
      <c r="L93" s="10"/>
      <c r="M93" s="11"/>
    </row>
    <row r="94" spans="1:13" s="27" customFormat="1" ht="15.95" customHeight="1">
      <c r="A94" s="16"/>
      <c r="B94" s="8"/>
      <c r="C94" s="8"/>
      <c r="D94" s="8"/>
      <c r="E94" s="8"/>
      <c r="F94" s="8"/>
      <c r="G94" s="8"/>
      <c r="H94" s="1"/>
      <c r="I94" s="10"/>
      <c r="J94" s="1"/>
      <c r="K94" s="3"/>
      <c r="L94" s="10"/>
      <c r="M94" s="11"/>
    </row>
    <row r="95" spans="1:13" s="27" customFormat="1" ht="15.95" customHeight="1">
      <c r="A95" s="16"/>
      <c r="B95" s="8"/>
      <c r="C95" s="8"/>
      <c r="D95" s="8"/>
      <c r="E95" s="8"/>
      <c r="F95" s="8"/>
      <c r="G95" s="8"/>
      <c r="H95" s="1"/>
      <c r="I95" s="10"/>
      <c r="J95" s="1"/>
      <c r="K95" s="3"/>
      <c r="L95" s="10"/>
      <c r="M95" s="11"/>
    </row>
    <row r="96" spans="1:13" s="27" customFormat="1" ht="15.95" customHeight="1">
      <c r="A96" s="16"/>
      <c r="B96" s="13" t="s">
        <v>59</v>
      </c>
      <c r="C96" s="8"/>
      <c r="D96" s="8"/>
      <c r="E96" s="8"/>
      <c r="F96" s="17" t="s">
        <v>60</v>
      </c>
      <c r="G96" s="8"/>
      <c r="H96" s="1"/>
      <c r="I96" s="10"/>
      <c r="J96" s="1"/>
      <c r="K96" s="3"/>
      <c r="L96" s="10"/>
      <c r="M96" s="11"/>
    </row>
    <row r="97" spans="1:13" s="27" customFormat="1" ht="15.95" customHeight="1">
      <c r="A97" s="16"/>
      <c r="B97" s="8"/>
      <c r="C97" s="8"/>
      <c r="D97" s="8"/>
      <c r="E97" s="8"/>
      <c r="F97" s="8"/>
      <c r="G97" s="8"/>
      <c r="H97" s="1"/>
      <c r="I97" s="10"/>
      <c r="J97" s="1"/>
      <c r="K97" s="3"/>
      <c r="L97" s="10"/>
      <c r="M97" s="11"/>
    </row>
    <row r="98" spans="1:13" s="27" customFormat="1" ht="15.95" customHeight="1">
      <c r="A98" s="24">
        <v>59</v>
      </c>
      <c r="B98" s="8" t="s">
        <v>61</v>
      </c>
      <c r="C98" s="18"/>
      <c r="D98" s="18">
        <v>61</v>
      </c>
      <c r="E98" s="18"/>
      <c r="F98" s="8" t="s">
        <v>62</v>
      </c>
      <c r="G98" s="8"/>
      <c r="H98" s="1"/>
      <c r="I98" s="10"/>
      <c r="J98" s="1"/>
      <c r="K98" s="3"/>
      <c r="L98" s="10"/>
      <c r="M98" s="11"/>
    </row>
    <row r="99" spans="1:13" s="27" customFormat="1" ht="15.95" customHeight="1">
      <c r="A99" s="24">
        <v>60</v>
      </c>
      <c r="B99" s="8" t="s">
        <v>63</v>
      </c>
      <c r="C99" s="18"/>
      <c r="D99" s="18">
        <v>62</v>
      </c>
      <c r="E99" s="18"/>
      <c r="F99" s="8" t="s">
        <v>64</v>
      </c>
      <c r="G99" s="8"/>
      <c r="H99" s="1"/>
      <c r="I99" s="10"/>
      <c r="J99" s="1"/>
      <c r="K99" s="3"/>
      <c r="L99" s="10"/>
      <c r="M99" s="11"/>
    </row>
    <row r="100" spans="1:13" s="27" customFormat="1" ht="15.95" customHeight="1">
      <c r="A100" s="24"/>
      <c r="B100" s="18"/>
      <c r="C100" s="18"/>
      <c r="D100" s="18">
        <v>63</v>
      </c>
      <c r="E100" s="18"/>
      <c r="F100" s="8" t="s">
        <v>65</v>
      </c>
      <c r="G100" s="8"/>
      <c r="H100" s="1"/>
      <c r="I100" s="10"/>
      <c r="J100" s="1"/>
      <c r="K100" s="3"/>
      <c r="L100" s="10"/>
      <c r="M100" s="11"/>
    </row>
    <row r="101" spans="1:13" s="27" customFormat="1">
      <c r="A101" s="34"/>
      <c r="B101" s="1"/>
      <c r="C101" s="1"/>
      <c r="D101" s="1"/>
      <c r="E101" s="1"/>
      <c r="F101" s="1"/>
      <c r="G101" s="1"/>
      <c r="H101" s="1"/>
      <c r="I101" s="10"/>
      <c r="J101" s="1"/>
      <c r="K101" s="3"/>
      <c r="L101" s="10"/>
      <c r="M101" s="11"/>
    </row>
  </sheetData>
  <autoFilter ref="A23:IW24" xr:uid="{00000000-0001-0000-0000-000000000000}"/>
  <mergeCells count="72">
    <mergeCell ref="B48:B49"/>
    <mergeCell ref="E48:E49"/>
    <mergeCell ref="C48:C49"/>
    <mergeCell ref="F35:F36"/>
    <mergeCell ref="G35:G36"/>
    <mergeCell ref="F87:I87"/>
    <mergeCell ref="H55:I55"/>
    <mergeCell ref="H51:I51"/>
    <mergeCell ref="F48:F49"/>
    <mergeCell ref="M22:M23"/>
    <mergeCell ref="J53:K53"/>
    <mergeCell ref="M48:M49"/>
    <mergeCell ref="F22:F23"/>
    <mergeCell ref="G22:G23"/>
    <mergeCell ref="G48:G49"/>
    <mergeCell ref="I22:I23"/>
    <mergeCell ref="J22:J23"/>
    <mergeCell ref="H35:I36"/>
    <mergeCell ref="H39:I39"/>
    <mergeCell ref="J55:K55"/>
    <mergeCell ref="J51:K51"/>
    <mergeCell ref="J52:K52"/>
    <mergeCell ref="J54:K54"/>
    <mergeCell ref="D35:D36"/>
    <mergeCell ref="J35:K36"/>
    <mergeCell ref="H41:I41"/>
    <mergeCell ref="J41:K41"/>
    <mergeCell ref="J42:K42"/>
    <mergeCell ref="H53:I53"/>
    <mergeCell ref="H54:I54"/>
    <mergeCell ref="H50:I50"/>
    <mergeCell ref="J48:K49"/>
    <mergeCell ref="J50:K50"/>
    <mergeCell ref="H52:I52"/>
    <mergeCell ref="H42:I42"/>
    <mergeCell ref="B10:B11"/>
    <mergeCell ref="E10:E11"/>
    <mergeCell ref="E22:E23"/>
    <mergeCell ref="E35:E36"/>
    <mergeCell ref="C10:C11"/>
    <mergeCell ref="D10:D11"/>
    <mergeCell ref="B35:B36"/>
    <mergeCell ref="C35:C36"/>
    <mergeCell ref="B22:B23"/>
    <mergeCell ref="F10:F11"/>
    <mergeCell ref="G10:G11"/>
    <mergeCell ref="I10:I11"/>
    <mergeCell ref="J39:K39"/>
    <mergeCell ref="H40:I40"/>
    <mergeCell ref="J40:K40"/>
    <mergeCell ref="A2:M2"/>
    <mergeCell ref="A3:M3"/>
    <mergeCell ref="B33:C33"/>
    <mergeCell ref="A57:M60"/>
    <mergeCell ref="C6:L6"/>
    <mergeCell ref="L10:L11"/>
    <mergeCell ref="C22:C23"/>
    <mergeCell ref="D22:D23"/>
    <mergeCell ref="L48:L49"/>
    <mergeCell ref="H48:I49"/>
    <mergeCell ref="L22:L23"/>
    <mergeCell ref="D48:D49"/>
    <mergeCell ref="J10:J11"/>
    <mergeCell ref="I8:J8"/>
    <mergeCell ref="I20:J20"/>
    <mergeCell ref="B46:M46"/>
    <mergeCell ref="L35:L36"/>
    <mergeCell ref="M35:M36"/>
    <mergeCell ref="H37:I37"/>
    <mergeCell ref="J37:K37"/>
    <mergeCell ref="H38:I38"/>
    <mergeCell ref="J38:K38"/>
  </mergeCells>
  <phoneticPr fontId="0" type="noConversion"/>
  <pageMargins left="0.75" right="0.75" top="1" bottom="1" header="0" footer="0"/>
  <pageSetup scale="4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S11"/>
  <sheetViews>
    <sheetView workbookViewId="0">
      <selection activeCell="C10" sqref="C10"/>
    </sheetView>
  </sheetViews>
  <sheetFormatPr baseColWidth="10" defaultColWidth="11.42578125" defaultRowHeight="12.75"/>
  <cols>
    <col min="1" max="1" width="11.42578125" style="42"/>
    <col min="2" max="2" width="36.28515625" style="42" bestFit="1" customWidth="1"/>
    <col min="3" max="3" width="32.28515625" style="42" bestFit="1" customWidth="1"/>
    <col min="4" max="10" width="11.42578125" style="42"/>
    <col min="11" max="11" width="12.28515625" style="42" bestFit="1" customWidth="1"/>
    <col min="12" max="16" width="11.42578125" style="42"/>
    <col min="17" max="17" width="19.7109375" style="42" bestFit="1" customWidth="1"/>
    <col min="18" max="16384" width="11.42578125" style="42"/>
  </cols>
  <sheetData>
    <row r="1" spans="1:19">
      <c r="A1" s="76"/>
      <c r="B1" s="76"/>
      <c r="C1" s="76"/>
      <c r="D1" s="76"/>
      <c r="E1" s="76"/>
      <c r="F1" s="76"/>
      <c r="G1" s="77"/>
      <c r="H1" s="77"/>
      <c r="I1" s="77"/>
      <c r="J1" s="77"/>
      <c r="K1" s="77"/>
      <c r="L1" s="76"/>
      <c r="M1" s="76"/>
      <c r="N1" s="76"/>
      <c r="O1" s="76"/>
      <c r="P1" s="76"/>
      <c r="Q1" s="76"/>
      <c r="R1" s="76"/>
      <c r="S1" s="76"/>
    </row>
    <row r="2" spans="1:19" ht="15">
      <c r="A2" s="78" t="s">
        <v>94</v>
      </c>
      <c r="B2" s="79"/>
      <c r="C2" s="79"/>
      <c r="D2" s="79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19" ht="15">
      <c r="A3" s="78"/>
      <c r="B3" s="79"/>
      <c r="C3" s="79"/>
      <c r="D3" s="79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1:19">
      <c r="A4" s="115" t="s">
        <v>145</v>
      </c>
      <c r="B4" s="80"/>
      <c r="C4" s="80"/>
      <c r="D4" s="80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</row>
    <row r="5" spans="1:19">
      <c r="A5" s="81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</row>
    <row r="6" spans="1:19" ht="13.5" thickBot="1">
      <c r="A6" s="82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80"/>
      <c r="N6" s="76"/>
      <c r="O6" s="76"/>
      <c r="P6" s="76"/>
      <c r="Q6" s="76"/>
      <c r="R6" s="76"/>
      <c r="S6" s="76"/>
    </row>
    <row r="7" spans="1:19" ht="128.44999999999999" customHeight="1" thickBot="1">
      <c r="A7" s="121" t="s">
        <v>95</v>
      </c>
      <c r="B7" s="122" t="s">
        <v>96</v>
      </c>
      <c r="C7" s="123" t="s">
        <v>97</v>
      </c>
      <c r="D7" s="122" t="s">
        <v>98</v>
      </c>
      <c r="E7" s="123" t="s">
        <v>99</v>
      </c>
      <c r="F7" s="122" t="s">
        <v>100</v>
      </c>
      <c r="G7" s="122" t="s">
        <v>101</v>
      </c>
      <c r="H7" s="123" t="s">
        <v>102</v>
      </c>
      <c r="I7" s="122" t="s">
        <v>103</v>
      </c>
      <c r="J7" s="122" t="s">
        <v>104</v>
      </c>
      <c r="K7" s="122" t="s">
        <v>115</v>
      </c>
      <c r="L7" s="122" t="s">
        <v>116</v>
      </c>
      <c r="M7" s="122" t="s">
        <v>117</v>
      </c>
      <c r="N7" s="122" t="s">
        <v>105</v>
      </c>
      <c r="O7" s="122" t="s">
        <v>106</v>
      </c>
      <c r="P7" s="122" t="s">
        <v>107</v>
      </c>
      <c r="Q7" s="122" t="s">
        <v>108</v>
      </c>
      <c r="R7" s="124" t="s">
        <v>109</v>
      </c>
      <c r="S7" s="125" t="s">
        <v>110</v>
      </c>
    </row>
    <row r="8" spans="1:19">
      <c r="A8" s="73">
        <v>1</v>
      </c>
      <c r="B8" s="70"/>
      <c r="C8" s="70"/>
      <c r="D8" s="74"/>
      <c r="E8" s="83"/>
      <c r="F8" s="84"/>
      <c r="G8" s="75"/>
      <c r="H8" s="73">
        <v>1</v>
      </c>
      <c r="I8" s="85" t="s">
        <v>111</v>
      </c>
      <c r="J8" s="84"/>
      <c r="K8" s="84"/>
      <c r="L8" s="84">
        <v>0</v>
      </c>
      <c r="M8" s="84">
        <v>0</v>
      </c>
      <c r="N8" s="86"/>
      <c r="O8" s="85" t="s">
        <v>111</v>
      </c>
      <c r="P8" s="85" t="s">
        <v>111</v>
      </c>
      <c r="Q8" s="87"/>
      <c r="R8" s="88"/>
      <c r="S8" s="89"/>
    </row>
    <row r="9" spans="1:19">
      <c r="A9" s="69">
        <v>2</v>
      </c>
      <c r="B9" s="70"/>
      <c r="C9" s="70"/>
      <c r="D9" s="70"/>
      <c r="E9" s="90"/>
      <c r="F9" s="91"/>
      <c r="G9" s="71"/>
      <c r="H9" s="69">
        <v>1</v>
      </c>
      <c r="I9" s="72" t="s">
        <v>111</v>
      </c>
      <c r="J9" s="91"/>
      <c r="K9" s="91">
        <v>0</v>
      </c>
      <c r="L9" s="91">
        <v>0</v>
      </c>
      <c r="M9" s="91">
        <v>0</v>
      </c>
      <c r="N9" s="92"/>
      <c r="O9" s="72" t="s">
        <v>111</v>
      </c>
      <c r="P9" s="72" t="s">
        <v>111</v>
      </c>
      <c r="Q9" s="93"/>
      <c r="R9" s="94"/>
      <c r="S9" s="95"/>
    </row>
    <row r="10" spans="1:19">
      <c r="A10" s="69">
        <v>3</v>
      </c>
      <c r="B10" s="70"/>
      <c r="C10" s="70"/>
      <c r="D10" s="70"/>
      <c r="E10" s="90"/>
      <c r="F10" s="91"/>
      <c r="G10" s="71"/>
      <c r="H10" s="69">
        <v>1</v>
      </c>
      <c r="I10" s="72" t="s">
        <v>111</v>
      </c>
      <c r="J10" s="91"/>
      <c r="K10" s="91">
        <v>0</v>
      </c>
      <c r="L10" s="91">
        <v>0</v>
      </c>
      <c r="M10" s="91">
        <v>0</v>
      </c>
      <c r="N10" s="92"/>
      <c r="O10" s="72" t="s">
        <v>111</v>
      </c>
      <c r="P10" s="72" t="s">
        <v>111</v>
      </c>
      <c r="Q10" s="93"/>
      <c r="R10" s="96"/>
      <c r="S10" s="95"/>
    </row>
    <row r="11" spans="1:19">
      <c r="A11" s="97"/>
      <c r="B11" s="97"/>
      <c r="C11" s="98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D7C3-FAA0-492A-9270-8C8294DC7D4A}">
  <sheetPr>
    <tabColor theme="8" tint="-0.249977111117893"/>
  </sheetPr>
  <dimension ref="A1:IW144"/>
  <sheetViews>
    <sheetView showGridLines="0" zoomScale="70" zoomScaleNormal="70" zoomScaleSheetLayoutView="75" workbookViewId="0">
      <selection activeCell="F141" sqref="F141"/>
    </sheetView>
  </sheetViews>
  <sheetFormatPr baseColWidth="10" defaultColWidth="9.140625" defaultRowHeight="15"/>
  <cols>
    <col min="1" max="1" width="8" style="39" customWidth="1"/>
    <col min="2" max="2" width="61.42578125" style="39" customWidth="1"/>
    <col min="3" max="3" width="32.85546875" style="39" customWidth="1"/>
    <col min="4" max="5" width="19.42578125" style="39" customWidth="1"/>
    <col min="6" max="6" width="51.42578125" style="39" customWidth="1"/>
    <col min="7" max="7" width="11.42578125" style="39" bestFit="1" customWidth="1"/>
    <col min="8" max="8" width="2.7109375" style="39" customWidth="1"/>
    <col min="9" max="9" width="17.7109375" style="106" customWidth="1"/>
    <col min="10" max="10" width="17.7109375" style="39" customWidth="1"/>
    <col min="11" max="11" width="2.42578125" style="39" customWidth="1"/>
    <col min="12" max="12" width="31.28515625" style="39" bestFit="1" customWidth="1"/>
    <col min="13" max="13" width="30.7109375" style="39" customWidth="1"/>
    <col min="14" max="16384" width="9.140625" style="39"/>
  </cols>
  <sheetData>
    <row r="1" spans="1:13" s="27" customFormat="1" ht="15" customHeight="1">
      <c r="A1" s="1"/>
      <c r="B1" s="1"/>
      <c r="C1" s="1"/>
      <c r="D1" s="1"/>
      <c r="E1" s="1"/>
      <c r="F1" s="1"/>
      <c r="G1" s="1"/>
      <c r="H1" s="1"/>
      <c r="I1" s="10"/>
      <c r="J1" s="1"/>
      <c r="K1" s="1"/>
      <c r="L1" s="1"/>
      <c r="M1" s="3"/>
    </row>
    <row r="2" spans="1:13" s="27" customFormat="1" ht="18">
      <c r="A2" s="130" t="s">
        <v>74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</row>
    <row r="3" spans="1:13" s="27" customFormat="1" ht="15.75" customHeight="1">
      <c r="A3" s="130" t="s">
        <v>143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</row>
    <row r="4" spans="1:13" s="27" customFormat="1" ht="15" customHeight="1">
      <c r="A4" s="1"/>
      <c r="B4" s="3"/>
      <c r="C4" s="3"/>
      <c r="D4" s="3"/>
      <c r="E4" s="3"/>
      <c r="F4" s="3"/>
      <c r="G4" s="3"/>
      <c r="H4" s="3"/>
      <c r="I4" s="99"/>
      <c r="J4" s="3"/>
      <c r="K4" s="3"/>
      <c r="L4" s="3"/>
      <c r="M4" s="3"/>
    </row>
    <row r="5" spans="1:13" s="27" customFormat="1">
      <c r="A5" s="1"/>
      <c r="B5" s="3"/>
      <c r="C5" s="3"/>
      <c r="D5" s="3"/>
      <c r="E5" s="3"/>
      <c r="F5" s="3"/>
      <c r="G5" s="3"/>
      <c r="H5" s="3"/>
      <c r="I5" s="10"/>
      <c r="J5" s="1"/>
      <c r="K5" s="1"/>
      <c r="L5" s="1"/>
      <c r="M5" s="3"/>
    </row>
    <row r="6" spans="1:13" s="27" customFormat="1" ht="21" customHeight="1">
      <c r="A6" s="1"/>
      <c r="B6" s="4" t="s">
        <v>35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3"/>
    </row>
    <row r="7" spans="1:13" s="27" customFormat="1" ht="15.75">
      <c r="A7" s="1"/>
      <c r="B7" s="2"/>
      <c r="C7" s="2"/>
      <c r="D7" s="1"/>
      <c r="E7" s="1"/>
      <c r="F7" s="1"/>
      <c r="G7" s="1"/>
      <c r="H7" s="1"/>
      <c r="I7" s="10"/>
      <c r="J7" s="1"/>
      <c r="K7" s="1"/>
      <c r="L7" s="1"/>
      <c r="M7" s="3"/>
    </row>
    <row r="8" spans="1:13" s="27" customFormat="1" ht="36" customHeight="1">
      <c r="A8" s="35" t="s">
        <v>68</v>
      </c>
      <c r="B8" s="2" t="s">
        <v>29</v>
      </c>
      <c r="C8" s="1"/>
      <c r="D8" s="1"/>
      <c r="E8" s="1"/>
      <c r="F8" s="1"/>
      <c r="G8" s="1"/>
      <c r="H8" s="1"/>
      <c r="I8" s="150" t="s">
        <v>36</v>
      </c>
      <c r="J8" s="150"/>
      <c r="K8" s="1"/>
      <c r="L8" s="1"/>
      <c r="M8" s="3"/>
    </row>
    <row r="9" spans="1:13" s="27" customFormat="1" ht="8.1" customHeight="1">
      <c r="A9" s="35"/>
      <c r="B9" s="1"/>
      <c r="C9" s="1"/>
      <c r="D9" s="1"/>
      <c r="E9" s="1"/>
      <c r="F9" s="1"/>
      <c r="G9" s="1"/>
      <c r="H9" s="1"/>
      <c r="I9" s="100"/>
      <c r="J9" s="28"/>
      <c r="K9" s="1"/>
      <c r="L9" s="1"/>
      <c r="M9" s="3"/>
    </row>
    <row r="10" spans="1:13" s="27" customFormat="1" ht="18" customHeight="1">
      <c r="A10" s="35"/>
      <c r="B10" s="142" t="s">
        <v>144</v>
      </c>
      <c r="C10" s="142" t="s">
        <v>26</v>
      </c>
      <c r="D10" s="142" t="s">
        <v>25</v>
      </c>
      <c r="E10" s="127" t="s">
        <v>114</v>
      </c>
      <c r="F10" s="142" t="s">
        <v>27</v>
      </c>
      <c r="G10" s="142" t="s">
        <v>24</v>
      </c>
      <c r="H10" s="1"/>
      <c r="I10" s="152" t="s">
        <v>31</v>
      </c>
      <c r="J10" s="142" t="s">
        <v>32</v>
      </c>
      <c r="K10" s="120"/>
      <c r="L10" s="142" t="s">
        <v>37</v>
      </c>
      <c r="M10" s="3"/>
    </row>
    <row r="11" spans="1:13" s="27" customFormat="1" ht="28.35" customHeight="1">
      <c r="A11" s="35"/>
      <c r="B11" s="143"/>
      <c r="C11" s="143"/>
      <c r="D11" s="143"/>
      <c r="E11" s="155"/>
      <c r="F11" s="143"/>
      <c r="G11" s="143"/>
      <c r="H11" s="1"/>
      <c r="I11" s="153"/>
      <c r="J11" s="143"/>
      <c r="K11" s="120"/>
      <c r="L11" s="143"/>
      <c r="M11" s="3"/>
    </row>
    <row r="12" spans="1:13" s="27" customFormat="1" ht="15.95" customHeight="1">
      <c r="A12" s="35"/>
      <c r="B12" s="109"/>
      <c r="C12" s="109"/>
      <c r="D12" s="109"/>
      <c r="E12" s="109"/>
      <c r="F12" s="109"/>
      <c r="G12" s="111"/>
      <c r="H12" s="108"/>
      <c r="I12" s="112"/>
      <c r="J12" s="109"/>
      <c r="K12" s="108"/>
      <c r="L12" s="113"/>
      <c r="M12" s="3"/>
    </row>
    <row r="13" spans="1:13" s="27" customFormat="1" ht="15.95" customHeight="1">
      <c r="A13" s="35"/>
      <c r="B13" s="109"/>
      <c r="C13" s="109"/>
      <c r="D13" s="109"/>
      <c r="E13" s="109"/>
      <c r="F13" s="109"/>
      <c r="G13" s="111"/>
      <c r="H13" s="108"/>
      <c r="I13" s="112"/>
      <c r="J13" s="109"/>
      <c r="K13" s="108"/>
      <c r="L13" s="113"/>
      <c r="M13" s="3"/>
    </row>
    <row r="14" spans="1:13" s="27" customFormat="1" ht="15.95" customHeight="1">
      <c r="A14" s="35"/>
      <c r="B14" s="109"/>
      <c r="C14" s="109"/>
      <c r="D14" s="109"/>
      <c r="E14" s="109"/>
      <c r="F14" s="109"/>
      <c r="G14" s="111"/>
      <c r="H14" s="108"/>
      <c r="I14" s="112"/>
      <c r="J14" s="109"/>
      <c r="K14" s="108"/>
      <c r="L14" s="113"/>
      <c r="M14" s="3"/>
    </row>
    <row r="15" spans="1:13" s="27" customFormat="1" ht="15.95" customHeight="1">
      <c r="A15" s="35"/>
      <c r="B15" s="109"/>
      <c r="C15" s="109"/>
      <c r="D15" s="109"/>
      <c r="E15" s="109"/>
      <c r="F15" s="109"/>
      <c r="G15" s="111"/>
      <c r="H15" s="108"/>
      <c r="I15" s="109"/>
      <c r="J15" s="109"/>
      <c r="K15" s="108"/>
      <c r="L15" s="113"/>
      <c r="M15" s="3"/>
    </row>
    <row r="16" spans="1:13" s="27" customFormat="1" ht="15.95" customHeight="1">
      <c r="A16" s="35"/>
      <c r="B16" s="109"/>
      <c r="C16" s="109"/>
      <c r="D16" s="109"/>
      <c r="E16" s="109"/>
      <c r="F16" s="109"/>
      <c r="G16" s="111"/>
      <c r="H16" s="108"/>
      <c r="I16" s="112"/>
      <c r="J16" s="109"/>
      <c r="K16" s="108"/>
      <c r="L16" s="113"/>
      <c r="M16" s="3"/>
    </row>
    <row r="17" spans="1:13" s="27" customFormat="1" ht="15.95" customHeight="1">
      <c r="A17" s="35"/>
      <c r="B17" s="109"/>
      <c r="C17" s="109"/>
      <c r="D17" s="109"/>
      <c r="E17" s="109"/>
      <c r="F17" s="109"/>
      <c r="G17" s="111"/>
      <c r="H17" s="108"/>
      <c r="I17" s="112"/>
      <c r="J17" s="109"/>
      <c r="K17" s="108"/>
      <c r="L17" s="113"/>
      <c r="M17" s="3"/>
    </row>
    <row r="18" spans="1:13" s="27" customFormat="1" ht="15.95" customHeight="1">
      <c r="A18" s="35"/>
      <c r="B18" s="109"/>
      <c r="C18" s="109"/>
      <c r="D18" s="109"/>
      <c r="E18" s="109"/>
      <c r="F18" s="109"/>
      <c r="G18" s="111"/>
      <c r="H18" s="108"/>
      <c r="I18" s="112"/>
      <c r="J18" s="109"/>
      <c r="K18" s="108"/>
      <c r="L18" s="113"/>
      <c r="M18" s="3"/>
    </row>
    <row r="19" spans="1:13" s="27" customFormat="1" ht="15.95" customHeight="1">
      <c r="A19" s="35"/>
      <c r="B19" s="109"/>
      <c r="C19" s="109"/>
      <c r="D19" s="109"/>
      <c r="E19" s="109"/>
      <c r="F19" s="109"/>
      <c r="G19" s="111"/>
      <c r="H19" s="108"/>
      <c r="I19" s="112"/>
      <c r="J19" s="109"/>
      <c r="K19" s="108"/>
      <c r="L19" s="113"/>
      <c r="M19" s="3"/>
    </row>
    <row r="20" spans="1:13" s="27" customFormat="1" ht="15.95" customHeight="1">
      <c r="A20" s="35"/>
      <c r="B20" s="109"/>
      <c r="C20" s="109"/>
      <c r="D20" s="109"/>
      <c r="E20" s="109"/>
      <c r="F20" s="109"/>
      <c r="G20" s="111"/>
      <c r="H20" s="108"/>
      <c r="I20" s="112"/>
      <c r="J20" s="109"/>
      <c r="K20" s="108"/>
      <c r="L20" s="113"/>
      <c r="M20" s="3"/>
    </row>
    <row r="21" spans="1:13" s="27" customFormat="1" ht="15.95" customHeight="1">
      <c r="A21" s="35"/>
      <c r="B21" s="109"/>
      <c r="C21" s="109"/>
      <c r="D21" s="109"/>
      <c r="E21" s="109"/>
      <c r="F21" s="109"/>
      <c r="G21" s="111"/>
      <c r="H21" s="108"/>
      <c r="I21" s="109"/>
      <c r="J21" s="109"/>
      <c r="K21" s="108"/>
      <c r="L21" s="113"/>
      <c r="M21" s="3"/>
    </row>
    <row r="22" spans="1:13" s="27" customFormat="1" ht="15.95" customHeight="1">
      <c r="A22" s="35"/>
      <c r="B22" s="109"/>
      <c r="C22" s="109"/>
      <c r="D22" s="109"/>
      <c r="E22" s="109"/>
      <c r="F22" s="109"/>
      <c r="G22" s="111"/>
      <c r="H22" s="108"/>
      <c r="I22" s="112"/>
      <c r="J22" s="109"/>
      <c r="K22" s="108"/>
      <c r="L22" s="113"/>
      <c r="M22" s="3"/>
    </row>
    <row r="23" spans="1:13" s="27" customFormat="1" ht="15.95" customHeight="1">
      <c r="A23" s="35"/>
      <c r="B23" s="109"/>
      <c r="C23" s="109"/>
      <c r="D23" s="109"/>
      <c r="E23" s="109"/>
      <c r="F23" s="109"/>
      <c r="G23" s="111"/>
      <c r="H23" s="108"/>
      <c r="I23" s="112"/>
      <c r="J23" s="109"/>
      <c r="K23" s="108"/>
      <c r="L23" s="113"/>
      <c r="M23" s="3"/>
    </row>
    <row r="24" spans="1:13" s="27" customFormat="1" ht="15.95" customHeight="1">
      <c r="A24" s="35"/>
      <c r="B24" s="109"/>
      <c r="C24" s="109"/>
      <c r="D24" s="109"/>
      <c r="E24" s="109"/>
      <c r="F24" s="109"/>
      <c r="G24" s="111"/>
      <c r="H24" s="108"/>
      <c r="I24" s="112"/>
      <c r="J24" s="109"/>
      <c r="K24" s="108"/>
      <c r="L24" s="113"/>
      <c r="M24" s="3"/>
    </row>
    <row r="25" spans="1:13" s="27" customFormat="1" ht="15.95" customHeight="1">
      <c r="A25" s="35"/>
      <c r="B25" s="109"/>
      <c r="C25" s="109"/>
      <c r="D25" s="109"/>
      <c r="E25" s="109"/>
      <c r="F25" s="109"/>
      <c r="G25" s="111"/>
      <c r="H25" s="108"/>
      <c r="I25" s="112"/>
      <c r="J25" s="109"/>
      <c r="K25" s="108"/>
      <c r="L25" s="113"/>
      <c r="M25" s="3"/>
    </row>
    <row r="26" spans="1:13" s="27" customFormat="1" ht="15.95" customHeight="1">
      <c r="A26" s="35"/>
      <c r="B26" s="109"/>
      <c r="C26" s="109"/>
      <c r="D26" s="109"/>
      <c r="E26" s="109"/>
      <c r="F26" s="109"/>
      <c r="G26" s="111"/>
      <c r="H26" s="108"/>
      <c r="I26" s="112"/>
      <c r="J26" s="109"/>
      <c r="K26" s="108"/>
      <c r="L26" s="113"/>
      <c r="M26" s="3"/>
    </row>
    <row r="27" spans="1:13" s="27" customFormat="1" ht="15.95" customHeight="1">
      <c r="A27" s="35"/>
      <c r="B27" s="109"/>
      <c r="C27" s="109"/>
      <c r="D27" s="109"/>
      <c r="E27" s="109"/>
      <c r="F27" s="109"/>
      <c r="G27" s="111"/>
      <c r="H27" s="108"/>
      <c r="I27" s="112"/>
      <c r="J27" s="109"/>
      <c r="K27" s="108"/>
      <c r="L27" s="113"/>
      <c r="M27" s="3"/>
    </row>
    <row r="28" spans="1:13" s="27" customFormat="1" ht="15.95" customHeight="1">
      <c r="A28" s="35"/>
      <c r="B28" s="6"/>
      <c r="C28" s="6"/>
      <c r="D28" s="6"/>
      <c r="E28" s="6"/>
      <c r="F28" s="6"/>
      <c r="G28" s="6"/>
      <c r="H28" s="1"/>
      <c r="I28" s="38"/>
      <c r="J28" s="6"/>
      <c r="K28" s="1"/>
      <c r="L28" s="7"/>
      <c r="M28" s="3"/>
    </row>
    <row r="29" spans="1:13" s="27" customFormat="1" ht="19.5" customHeight="1">
      <c r="A29" s="35"/>
      <c r="B29" s="1"/>
      <c r="C29" s="1"/>
      <c r="D29" s="1"/>
      <c r="E29" s="1"/>
      <c r="F29" s="1"/>
      <c r="G29" s="1"/>
      <c r="H29" s="1"/>
      <c r="I29" s="10"/>
      <c r="J29" s="1"/>
      <c r="K29" s="1"/>
      <c r="L29" s="1"/>
      <c r="M29" s="3"/>
    </row>
    <row r="30" spans="1:13" s="27" customFormat="1" ht="39.75" customHeight="1">
      <c r="A30" s="35" t="s">
        <v>69</v>
      </c>
      <c r="B30" s="2" t="s">
        <v>30</v>
      </c>
      <c r="C30" s="1"/>
      <c r="D30" s="1"/>
      <c r="E30" s="1"/>
      <c r="F30" s="1"/>
      <c r="G30" s="1"/>
      <c r="H30" s="1"/>
      <c r="I30" s="150" t="s">
        <v>36</v>
      </c>
      <c r="J30" s="150"/>
      <c r="K30" s="1"/>
      <c r="L30" s="1"/>
      <c r="M30" s="3"/>
    </row>
    <row r="31" spans="1:13" s="27" customFormat="1" ht="8.1" customHeight="1">
      <c r="A31" s="35"/>
      <c r="B31" s="2"/>
      <c r="C31" s="1"/>
      <c r="D31" s="1"/>
      <c r="E31" s="1"/>
      <c r="F31" s="1"/>
      <c r="G31" s="1"/>
      <c r="H31" s="1"/>
      <c r="I31" s="101"/>
      <c r="J31" s="5"/>
      <c r="K31" s="1"/>
      <c r="L31" s="1"/>
      <c r="M31" s="3"/>
    </row>
    <row r="32" spans="1:13" s="27" customFormat="1" ht="18" customHeight="1">
      <c r="A32" s="35"/>
      <c r="B32" s="142" t="s">
        <v>144</v>
      </c>
      <c r="C32" s="142" t="s">
        <v>26</v>
      </c>
      <c r="D32" s="142" t="s">
        <v>25</v>
      </c>
      <c r="E32" s="127" t="s">
        <v>114</v>
      </c>
      <c r="F32" s="142" t="s">
        <v>27</v>
      </c>
      <c r="G32" s="142" t="s">
        <v>24</v>
      </c>
      <c r="H32" s="1"/>
      <c r="I32" s="152" t="s">
        <v>31</v>
      </c>
      <c r="J32" s="142" t="s">
        <v>32</v>
      </c>
      <c r="K32" s="120"/>
      <c r="L32" s="142" t="s">
        <v>38</v>
      </c>
      <c r="M32" s="142" t="s">
        <v>137</v>
      </c>
    </row>
    <row r="33" spans="1:13" s="27" customFormat="1" ht="18" customHeight="1">
      <c r="A33" s="35"/>
      <c r="B33" s="143"/>
      <c r="C33" s="143"/>
      <c r="D33" s="143"/>
      <c r="E33" s="155"/>
      <c r="F33" s="143"/>
      <c r="G33" s="143"/>
      <c r="H33" s="1"/>
      <c r="I33" s="153"/>
      <c r="J33" s="143"/>
      <c r="K33" s="120"/>
      <c r="L33" s="143"/>
      <c r="M33" s="143"/>
    </row>
    <row r="34" spans="1:13" s="27" customFormat="1" ht="15.95" customHeight="1">
      <c r="A34" s="35"/>
      <c r="B34" s="6"/>
      <c r="C34" s="6"/>
      <c r="D34" s="6"/>
      <c r="E34" s="6"/>
      <c r="F34" s="6"/>
      <c r="G34" s="6"/>
      <c r="H34" s="1"/>
      <c r="I34" s="38"/>
      <c r="J34" s="6"/>
      <c r="K34" s="1"/>
      <c r="L34" s="107"/>
      <c r="M34" s="118"/>
    </row>
    <row r="35" spans="1:13" s="27" customFormat="1" ht="15.95" customHeight="1">
      <c r="A35" s="35"/>
      <c r="B35" s="6"/>
      <c r="C35" s="6"/>
      <c r="D35" s="6"/>
      <c r="E35" s="6"/>
      <c r="F35" s="6"/>
      <c r="G35" s="6"/>
      <c r="H35" s="1"/>
      <c r="I35" s="38"/>
      <c r="J35" s="6"/>
      <c r="K35" s="1"/>
      <c r="L35" s="107"/>
      <c r="M35" s="118"/>
    </row>
    <row r="36" spans="1:13" s="27" customFormat="1" ht="15.95" customHeight="1">
      <c r="A36" s="35"/>
      <c r="B36" s="6"/>
      <c r="C36" s="6"/>
      <c r="D36" s="6"/>
      <c r="E36" s="6"/>
      <c r="F36" s="6"/>
      <c r="G36" s="6"/>
      <c r="H36" s="1"/>
      <c r="I36" s="38"/>
      <c r="J36" s="6"/>
      <c r="K36" s="1"/>
      <c r="L36" s="107"/>
      <c r="M36" s="118"/>
    </row>
    <row r="37" spans="1:13" s="27" customFormat="1" ht="15.95" customHeight="1">
      <c r="A37" s="35"/>
      <c r="B37" s="6"/>
      <c r="C37" s="6"/>
      <c r="D37" s="6"/>
      <c r="E37" s="6"/>
      <c r="F37" s="6"/>
      <c r="G37" s="6"/>
      <c r="H37" s="1"/>
      <c r="I37" s="38"/>
      <c r="J37" s="6"/>
      <c r="K37" s="1"/>
      <c r="L37" s="107"/>
      <c r="M37" s="118"/>
    </row>
    <row r="38" spans="1:13" s="27" customFormat="1" ht="15.95" customHeight="1">
      <c r="A38" s="35"/>
      <c r="B38" s="6"/>
      <c r="C38" s="6"/>
      <c r="D38" s="6"/>
      <c r="E38" s="6"/>
      <c r="F38" s="6"/>
      <c r="G38" s="6"/>
      <c r="H38" s="1"/>
      <c r="I38" s="38"/>
      <c r="J38" s="6"/>
      <c r="K38" s="1"/>
      <c r="L38" s="107"/>
      <c r="M38" s="118"/>
    </row>
    <row r="39" spans="1:13" s="27" customFormat="1" ht="15.95" customHeight="1">
      <c r="A39" s="35"/>
      <c r="B39" s="6"/>
      <c r="C39" s="6"/>
      <c r="D39" s="6"/>
      <c r="E39" s="6"/>
      <c r="F39" s="6"/>
      <c r="G39" s="6"/>
      <c r="H39" s="1"/>
      <c r="I39" s="38"/>
      <c r="J39" s="6"/>
      <c r="K39" s="1"/>
      <c r="L39" s="107"/>
      <c r="M39" s="118"/>
    </row>
    <row r="40" spans="1:13" s="27" customFormat="1" ht="15.95" customHeight="1">
      <c r="A40" s="35"/>
      <c r="B40" s="6"/>
      <c r="C40" s="6"/>
      <c r="D40" s="6"/>
      <c r="E40" s="6"/>
      <c r="F40" s="6"/>
      <c r="G40" s="6"/>
      <c r="H40" s="1"/>
      <c r="I40" s="38"/>
      <c r="J40" s="6"/>
      <c r="K40" s="1"/>
      <c r="L40" s="107"/>
      <c r="M40" s="118"/>
    </row>
    <row r="41" spans="1:13" s="27" customFormat="1" ht="15.95" customHeight="1">
      <c r="A41" s="35"/>
      <c r="B41" s="6"/>
      <c r="C41" s="6"/>
      <c r="D41" s="6"/>
      <c r="E41" s="6"/>
      <c r="F41" s="6"/>
      <c r="G41" s="6"/>
      <c r="H41" s="1"/>
      <c r="I41" s="38"/>
      <c r="J41" s="6"/>
      <c r="K41" s="1"/>
      <c r="L41" s="107"/>
      <c r="M41" s="118"/>
    </row>
    <row r="42" spans="1:13" s="27" customFormat="1" ht="15.95" customHeight="1">
      <c r="A42" s="35"/>
      <c r="B42" s="6"/>
      <c r="C42" s="6"/>
      <c r="D42" s="6"/>
      <c r="E42" s="6"/>
      <c r="F42" s="6"/>
      <c r="G42" s="6"/>
      <c r="H42" s="1"/>
      <c r="I42" s="38"/>
      <c r="J42" s="6"/>
      <c r="K42" s="1"/>
      <c r="L42" s="107"/>
      <c r="M42" s="118"/>
    </row>
    <row r="43" spans="1:13" s="27" customFormat="1" ht="15.95" customHeight="1">
      <c r="A43" s="35"/>
      <c r="B43" s="6"/>
      <c r="C43" s="6"/>
      <c r="D43" s="6"/>
      <c r="E43" s="6"/>
      <c r="F43" s="6"/>
      <c r="G43" s="6"/>
      <c r="H43" s="1"/>
      <c r="I43" s="38"/>
      <c r="J43" s="6"/>
      <c r="K43" s="1"/>
      <c r="L43" s="107"/>
      <c r="M43" s="118"/>
    </row>
    <row r="44" spans="1:13" s="27" customFormat="1" ht="15.95" customHeight="1">
      <c r="A44" s="35"/>
      <c r="B44" s="6"/>
      <c r="C44" s="6"/>
      <c r="D44" s="6"/>
      <c r="E44" s="6"/>
      <c r="F44" s="6"/>
      <c r="G44" s="6"/>
      <c r="H44" s="1"/>
      <c r="I44" s="38"/>
      <c r="J44" s="6"/>
      <c r="K44" s="1"/>
      <c r="L44" s="107"/>
      <c r="M44" s="118"/>
    </row>
    <row r="45" spans="1:13" s="27" customFormat="1" ht="15.95" customHeight="1">
      <c r="A45" s="35"/>
      <c r="B45" s="6"/>
      <c r="C45" s="6"/>
      <c r="D45" s="6"/>
      <c r="E45" s="6"/>
      <c r="F45" s="6"/>
      <c r="G45" s="6"/>
      <c r="H45" s="1"/>
      <c r="I45" s="38"/>
      <c r="J45" s="6"/>
      <c r="K45" s="1"/>
      <c r="L45" s="107"/>
      <c r="M45" s="118"/>
    </row>
    <row r="46" spans="1:13" s="27" customFormat="1" ht="15.95" customHeight="1">
      <c r="A46" s="35"/>
      <c r="B46" s="6"/>
      <c r="C46" s="6"/>
      <c r="D46" s="6"/>
      <c r="E46" s="6"/>
      <c r="F46" s="6"/>
      <c r="G46" s="6"/>
      <c r="H46" s="1"/>
      <c r="I46" s="38"/>
      <c r="J46" s="6"/>
      <c r="K46" s="1"/>
      <c r="L46" s="107"/>
      <c r="M46" s="118"/>
    </row>
    <row r="47" spans="1:13" s="27" customFormat="1" ht="15.95" customHeight="1">
      <c r="A47" s="35"/>
      <c r="B47" s="6"/>
      <c r="C47" s="6"/>
      <c r="D47" s="6"/>
      <c r="E47" s="6"/>
      <c r="F47" s="6"/>
      <c r="G47" s="6"/>
      <c r="H47" s="1"/>
      <c r="I47" s="38"/>
      <c r="J47" s="6"/>
      <c r="K47" s="1"/>
      <c r="L47" s="107"/>
      <c r="M47" s="118"/>
    </row>
    <row r="48" spans="1:13" s="27" customFormat="1" ht="15.95" customHeight="1">
      <c r="A48" s="35"/>
      <c r="B48" s="6"/>
      <c r="C48" s="6"/>
      <c r="D48" s="6"/>
      <c r="E48" s="6"/>
      <c r="F48" s="6"/>
      <c r="G48" s="6"/>
      <c r="H48" s="1"/>
      <c r="I48" s="38"/>
      <c r="J48" s="6"/>
      <c r="K48" s="1"/>
      <c r="L48" s="107"/>
      <c r="M48" s="118"/>
    </row>
    <row r="49" spans="1:13" s="27" customFormat="1" ht="15.95" customHeight="1">
      <c r="A49" s="35"/>
      <c r="B49" s="6"/>
      <c r="C49" s="6"/>
      <c r="D49" s="6"/>
      <c r="E49" s="6"/>
      <c r="F49" s="6"/>
      <c r="G49" s="6"/>
      <c r="H49" s="1"/>
      <c r="I49" s="38"/>
      <c r="J49" s="6"/>
      <c r="K49" s="1"/>
      <c r="L49" s="107"/>
      <c r="M49" s="118"/>
    </row>
    <row r="50" spans="1:13" s="27" customFormat="1" ht="15.95" customHeight="1">
      <c r="A50" s="35"/>
      <c r="B50" s="6"/>
      <c r="C50" s="6"/>
      <c r="D50" s="6"/>
      <c r="E50" s="6"/>
      <c r="F50" s="6"/>
      <c r="G50" s="6"/>
      <c r="H50" s="1"/>
      <c r="I50" s="38"/>
      <c r="J50" s="6"/>
      <c r="K50" s="1"/>
      <c r="L50" s="107"/>
      <c r="M50" s="118"/>
    </row>
    <row r="51" spans="1:13" s="27" customFormat="1" ht="15.95" customHeight="1">
      <c r="A51" s="35"/>
      <c r="B51" s="6"/>
      <c r="C51" s="6"/>
      <c r="D51" s="6"/>
      <c r="E51" s="6"/>
      <c r="F51" s="6"/>
      <c r="G51" s="6"/>
      <c r="H51" s="1"/>
      <c r="I51" s="38"/>
      <c r="J51" s="6"/>
      <c r="K51" s="1"/>
      <c r="L51" s="107"/>
      <c r="M51" s="118"/>
    </row>
    <row r="52" spans="1:13" s="27" customFormat="1" ht="15.95" customHeight="1">
      <c r="A52" s="35"/>
      <c r="B52" s="6"/>
      <c r="C52" s="6"/>
      <c r="D52" s="6"/>
      <c r="E52" s="6"/>
      <c r="F52" s="6"/>
      <c r="G52" s="6"/>
      <c r="H52" s="1"/>
      <c r="I52" s="38"/>
      <c r="J52" s="6"/>
      <c r="K52" s="1"/>
      <c r="L52" s="107"/>
      <c r="M52" s="118"/>
    </row>
    <row r="53" spans="1:13" s="27" customFormat="1" ht="15.95" customHeight="1">
      <c r="A53" s="35"/>
      <c r="B53" s="6"/>
      <c r="C53" s="6"/>
      <c r="D53" s="6"/>
      <c r="E53" s="6"/>
      <c r="F53" s="6"/>
      <c r="G53" s="6"/>
      <c r="H53" s="1"/>
      <c r="I53" s="38"/>
      <c r="J53" s="6"/>
      <c r="K53" s="1"/>
      <c r="L53" s="107"/>
      <c r="M53" s="118"/>
    </row>
    <row r="54" spans="1:13" s="27" customFormat="1" ht="15.95" customHeight="1">
      <c r="A54" s="35"/>
      <c r="B54" s="6"/>
      <c r="C54" s="6"/>
      <c r="D54" s="6"/>
      <c r="E54" s="6"/>
      <c r="F54" s="6"/>
      <c r="G54" s="6"/>
      <c r="H54" s="1"/>
      <c r="I54" s="38"/>
      <c r="J54" s="6"/>
      <c r="K54" s="1"/>
      <c r="L54" s="107"/>
      <c r="M54" s="118"/>
    </row>
    <row r="55" spans="1:13" s="27" customFormat="1" ht="15.95" customHeight="1">
      <c r="A55" s="35"/>
      <c r="B55" s="6"/>
      <c r="C55" s="6"/>
      <c r="D55" s="6"/>
      <c r="E55" s="6"/>
      <c r="F55" s="6"/>
      <c r="G55" s="6"/>
      <c r="H55" s="1"/>
      <c r="I55" s="38"/>
      <c r="J55" s="6"/>
      <c r="K55" s="1"/>
      <c r="L55" s="107"/>
      <c r="M55" s="118"/>
    </row>
    <row r="56" spans="1:13" s="27" customFormat="1" ht="15.95" customHeight="1">
      <c r="A56" s="35"/>
      <c r="B56" s="6"/>
      <c r="C56" s="6"/>
      <c r="D56" s="6"/>
      <c r="E56" s="6"/>
      <c r="F56" s="6"/>
      <c r="G56" s="6"/>
      <c r="H56" s="1"/>
      <c r="I56" s="38"/>
      <c r="J56" s="6"/>
      <c r="K56" s="1"/>
      <c r="L56" s="107"/>
      <c r="M56" s="118"/>
    </row>
    <row r="57" spans="1:13" s="27" customFormat="1" ht="15.95" customHeight="1">
      <c r="A57" s="35"/>
      <c r="B57" s="6"/>
      <c r="C57" s="6"/>
      <c r="D57" s="6"/>
      <c r="E57" s="6"/>
      <c r="F57" s="6"/>
      <c r="G57" s="6"/>
      <c r="H57" s="1"/>
      <c r="I57" s="38"/>
      <c r="J57" s="6"/>
      <c r="K57" s="1"/>
      <c r="L57" s="107"/>
      <c r="M57" s="118"/>
    </row>
    <row r="58" spans="1:13" s="27" customFormat="1" ht="15.95" customHeight="1">
      <c r="A58" s="35"/>
      <c r="B58" s="6"/>
      <c r="C58" s="6"/>
      <c r="D58" s="6"/>
      <c r="E58" s="6"/>
      <c r="F58" s="6"/>
      <c r="G58" s="6"/>
      <c r="H58" s="1"/>
      <c r="I58" s="38"/>
      <c r="J58" s="6"/>
      <c r="K58" s="1"/>
      <c r="L58" s="107"/>
      <c r="M58" s="118"/>
    </row>
    <row r="59" spans="1:13" s="27" customFormat="1" ht="15.95" customHeight="1">
      <c r="A59" s="35"/>
      <c r="B59" s="6"/>
      <c r="C59" s="6"/>
      <c r="D59" s="6"/>
      <c r="E59" s="6"/>
      <c r="F59" s="6"/>
      <c r="G59" s="6"/>
      <c r="H59" s="1"/>
      <c r="I59" s="38"/>
      <c r="J59" s="6"/>
      <c r="K59" s="1"/>
      <c r="L59" s="107"/>
      <c r="M59" s="118"/>
    </row>
    <row r="60" spans="1:13" s="27" customFormat="1" ht="15.95" customHeight="1">
      <c r="A60" s="35"/>
      <c r="B60" s="6"/>
      <c r="C60" s="6"/>
      <c r="D60" s="6"/>
      <c r="E60" s="6"/>
      <c r="F60" s="6"/>
      <c r="G60" s="6"/>
      <c r="H60" s="1"/>
      <c r="I60" s="38"/>
      <c r="J60" s="6"/>
      <c r="K60" s="1"/>
      <c r="L60" s="107"/>
      <c r="M60" s="118"/>
    </row>
    <row r="61" spans="1:13" s="27" customFormat="1" ht="15.95" customHeight="1">
      <c r="A61" s="35"/>
      <c r="B61" s="6"/>
      <c r="C61" s="6"/>
      <c r="D61" s="6"/>
      <c r="E61" s="6"/>
      <c r="F61" s="6"/>
      <c r="G61" s="6"/>
      <c r="H61" s="1"/>
      <c r="I61" s="38"/>
      <c r="J61" s="6"/>
      <c r="K61" s="1"/>
      <c r="L61" s="107"/>
      <c r="M61" s="118"/>
    </row>
    <row r="62" spans="1:13" s="27" customFormat="1" ht="15.95" customHeight="1">
      <c r="A62" s="35"/>
      <c r="B62" s="6"/>
      <c r="C62" s="6"/>
      <c r="D62" s="6"/>
      <c r="E62" s="6"/>
      <c r="F62" s="6"/>
      <c r="G62" s="6"/>
      <c r="H62" s="1"/>
      <c r="I62" s="38"/>
      <c r="J62" s="6"/>
      <c r="K62" s="1"/>
      <c r="L62" s="107"/>
      <c r="M62" s="118"/>
    </row>
    <row r="63" spans="1:13" s="27" customFormat="1" ht="15.95" customHeight="1">
      <c r="A63" s="35"/>
      <c r="B63" s="6"/>
      <c r="C63" s="6"/>
      <c r="D63" s="6"/>
      <c r="E63" s="6"/>
      <c r="F63" s="6"/>
      <c r="G63" s="6"/>
      <c r="H63" s="1"/>
      <c r="I63" s="38"/>
      <c r="J63" s="6"/>
      <c r="K63" s="1"/>
      <c r="L63" s="107"/>
      <c r="M63" s="118"/>
    </row>
    <row r="64" spans="1:13" s="27" customFormat="1" ht="15.95" customHeight="1">
      <c r="A64" s="35"/>
      <c r="B64" s="6"/>
      <c r="C64" s="6"/>
      <c r="D64" s="6"/>
      <c r="E64" s="6"/>
      <c r="F64" s="6"/>
      <c r="G64" s="6"/>
      <c r="H64" s="1"/>
      <c r="I64" s="38"/>
      <c r="J64" s="6"/>
      <c r="K64" s="1"/>
      <c r="L64" s="107"/>
      <c r="M64" s="118"/>
    </row>
    <row r="65" spans="1:13" s="27" customFormat="1" ht="15.95" customHeight="1">
      <c r="A65" s="35"/>
      <c r="B65" s="6"/>
      <c r="C65" s="6"/>
      <c r="D65" s="6"/>
      <c r="E65" s="6"/>
      <c r="F65" s="6"/>
      <c r="G65" s="6"/>
      <c r="H65" s="1"/>
      <c r="I65" s="38"/>
      <c r="J65" s="6"/>
      <c r="K65" s="1"/>
      <c r="L65" s="107"/>
      <c r="M65" s="118"/>
    </row>
    <row r="66" spans="1:13" s="27" customFormat="1" ht="15.95" customHeight="1">
      <c r="A66" s="35"/>
      <c r="B66" s="6"/>
      <c r="C66" s="6"/>
      <c r="D66" s="6"/>
      <c r="E66" s="6"/>
      <c r="F66" s="6"/>
      <c r="G66" s="6"/>
      <c r="H66" s="1"/>
      <c r="I66" s="38"/>
      <c r="J66" s="6"/>
      <c r="K66" s="1"/>
      <c r="L66" s="107"/>
      <c r="M66" s="118"/>
    </row>
    <row r="67" spans="1:13" s="27" customFormat="1" ht="15.95" customHeight="1">
      <c r="A67" s="35"/>
      <c r="B67" s="6"/>
      <c r="C67" s="6"/>
      <c r="D67" s="6"/>
      <c r="E67" s="6"/>
      <c r="F67" s="6"/>
      <c r="G67" s="6"/>
      <c r="H67" s="1"/>
      <c r="I67" s="38"/>
      <c r="J67" s="6"/>
      <c r="K67" s="1"/>
      <c r="L67" s="107"/>
      <c r="M67" s="118"/>
    </row>
    <row r="68" spans="1:13" s="27" customFormat="1" ht="15.95" customHeight="1">
      <c r="A68" s="35"/>
      <c r="B68" s="6"/>
      <c r="C68" s="6"/>
      <c r="D68" s="6"/>
      <c r="E68" s="6"/>
      <c r="F68" s="6"/>
      <c r="G68" s="6"/>
      <c r="H68" s="1"/>
      <c r="I68" s="38"/>
      <c r="J68" s="6"/>
      <c r="K68" s="1"/>
      <c r="L68" s="107"/>
      <c r="M68" s="118"/>
    </row>
    <row r="69" spans="1:13" s="27" customFormat="1" ht="15.95" customHeight="1">
      <c r="A69" s="35"/>
      <c r="B69" s="6"/>
      <c r="C69" s="6"/>
      <c r="D69" s="6"/>
      <c r="E69" s="6"/>
      <c r="F69" s="6"/>
      <c r="G69" s="6"/>
      <c r="H69" s="1"/>
      <c r="I69" s="38"/>
      <c r="J69" s="6"/>
      <c r="K69" s="1"/>
      <c r="L69" s="107"/>
      <c r="M69" s="118"/>
    </row>
    <row r="70" spans="1:13" s="27" customFormat="1" ht="15.95" customHeight="1">
      <c r="A70" s="35"/>
      <c r="B70" s="6"/>
      <c r="C70" s="6"/>
      <c r="D70" s="6"/>
      <c r="E70" s="6"/>
      <c r="F70" s="6"/>
      <c r="G70" s="6"/>
      <c r="H70" s="1"/>
      <c r="I70" s="38"/>
      <c r="J70" s="6"/>
      <c r="K70" s="1"/>
      <c r="L70" s="7"/>
      <c r="M70" s="119"/>
    </row>
    <row r="71" spans="1:13" s="27" customFormat="1" ht="9.9499999999999993" customHeight="1">
      <c r="A71" s="35"/>
      <c r="B71" s="1"/>
      <c r="C71" s="1"/>
      <c r="D71" s="1"/>
      <c r="E71" s="1"/>
      <c r="F71" s="1"/>
      <c r="G71" s="1"/>
      <c r="H71" s="1"/>
      <c r="I71" s="10"/>
      <c r="J71" s="1"/>
      <c r="K71" s="1"/>
      <c r="L71" s="1"/>
      <c r="M71" s="3"/>
    </row>
    <row r="72" spans="1:13" s="27" customFormat="1" ht="15.95" customHeight="1">
      <c r="A72" s="35"/>
      <c r="B72" s="3" t="s">
        <v>72</v>
      </c>
      <c r="C72" s="1"/>
      <c r="D72" s="1"/>
      <c r="E72" s="1"/>
      <c r="F72" s="1"/>
      <c r="G72" s="1"/>
      <c r="H72" s="1"/>
      <c r="I72" s="10"/>
      <c r="J72" s="1"/>
      <c r="K72" s="1"/>
      <c r="L72" s="30">
        <f>SUM(L34:L71)</f>
        <v>0</v>
      </c>
      <c r="M72" s="3"/>
    </row>
    <row r="73" spans="1:13" s="27" customFormat="1" ht="15.95" customHeight="1">
      <c r="A73" s="35"/>
      <c r="B73" s="1" t="s">
        <v>33</v>
      </c>
      <c r="C73" s="1"/>
      <c r="D73" s="1"/>
      <c r="E73" s="1"/>
      <c r="F73" s="1"/>
      <c r="G73" s="1"/>
      <c r="H73" s="1"/>
      <c r="I73" s="10"/>
      <c r="J73" s="1"/>
      <c r="K73" s="1"/>
      <c r="L73" s="1"/>
      <c r="M73" s="3"/>
    </row>
    <row r="74" spans="1:13" s="27" customFormat="1" ht="15.95" customHeight="1">
      <c r="A74" s="35"/>
      <c r="B74" s="1" t="s">
        <v>34</v>
      </c>
      <c r="C74" s="1"/>
      <c r="D74" s="1"/>
      <c r="E74" s="1"/>
      <c r="F74" s="1"/>
      <c r="G74" s="1"/>
      <c r="H74" s="1"/>
      <c r="I74" s="10"/>
      <c r="J74" s="1"/>
      <c r="K74" s="1"/>
      <c r="L74" s="1"/>
      <c r="M74" s="3"/>
    </row>
    <row r="75" spans="1:13" s="27" customFormat="1" ht="9.9499999999999993" customHeight="1">
      <c r="A75" s="35"/>
      <c r="B75" s="1"/>
      <c r="C75" s="1"/>
      <c r="D75" s="1"/>
      <c r="E75" s="1"/>
      <c r="F75" s="1"/>
      <c r="G75" s="1"/>
      <c r="H75" s="1"/>
      <c r="I75" s="10"/>
      <c r="J75" s="1"/>
      <c r="K75" s="1"/>
      <c r="L75" s="1"/>
      <c r="M75" s="3"/>
    </row>
    <row r="76" spans="1:13" s="27" customFormat="1" ht="15" customHeight="1">
      <c r="A76" s="37" t="s">
        <v>70</v>
      </c>
      <c r="B76" s="131" t="s">
        <v>66</v>
      </c>
      <c r="C76" s="131"/>
      <c r="D76" s="1"/>
      <c r="E76" s="1"/>
      <c r="F76" s="29"/>
      <c r="G76" s="29"/>
      <c r="H76" s="29"/>
      <c r="I76" s="102"/>
      <c r="J76" s="29"/>
      <c r="K76" s="29"/>
      <c r="L76" s="29"/>
      <c r="M76" s="3"/>
    </row>
    <row r="77" spans="1:13" s="27" customFormat="1" ht="10.5" customHeight="1">
      <c r="A77" s="37"/>
      <c r="B77" s="19"/>
      <c r="C77" s="19"/>
      <c r="D77" s="1"/>
      <c r="E77" s="1"/>
      <c r="F77" s="29"/>
      <c r="G77" s="29"/>
      <c r="H77" s="29"/>
      <c r="I77" s="102"/>
      <c r="J77" s="29"/>
      <c r="K77" s="29"/>
      <c r="L77" s="29"/>
      <c r="M77" s="3"/>
    </row>
    <row r="78" spans="1:13" s="27" customFormat="1" ht="15.75">
      <c r="A78" s="35"/>
      <c r="B78" s="142" t="s">
        <v>144</v>
      </c>
      <c r="C78" s="142" t="s">
        <v>26</v>
      </c>
      <c r="D78" s="142" t="s">
        <v>113</v>
      </c>
      <c r="E78" s="127" t="s">
        <v>114</v>
      </c>
      <c r="F78" s="142" t="s">
        <v>27</v>
      </c>
      <c r="G78" s="142" t="s">
        <v>24</v>
      </c>
      <c r="H78" s="144" t="s">
        <v>138</v>
      </c>
      <c r="I78" s="145"/>
      <c r="J78" s="144" t="s">
        <v>139</v>
      </c>
      <c r="K78" s="145"/>
      <c r="L78" s="127" t="s">
        <v>140</v>
      </c>
      <c r="M78" s="127" t="s">
        <v>141</v>
      </c>
    </row>
    <row r="79" spans="1:13" s="27" customFormat="1" ht="15.75">
      <c r="A79" s="35"/>
      <c r="B79" s="143"/>
      <c r="C79" s="143"/>
      <c r="D79" s="143"/>
      <c r="E79" s="155"/>
      <c r="F79" s="143"/>
      <c r="G79" s="143"/>
      <c r="H79" s="146"/>
      <c r="I79" s="147"/>
      <c r="J79" s="146"/>
      <c r="K79" s="147"/>
      <c r="L79" s="128"/>
      <c r="M79" s="128"/>
    </row>
    <row r="80" spans="1:13" s="27" customFormat="1" ht="15.75">
      <c r="A80" s="35"/>
      <c r="B80" s="6"/>
      <c r="C80" s="6"/>
      <c r="D80" s="6"/>
      <c r="E80" s="6"/>
      <c r="F80" s="6"/>
      <c r="G80" s="6"/>
      <c r="H80" s="129"/>
      <c r="I80" s="129"/>
      <c r="J80" s="129"/>
      <c r="K80" s="129"/>
      <c r="L80" s="7"/>
      <c r="M80" s="7"/>
    </row>
    <row r="81" spans="1:13" s="27" customFormat="1" ht="15.75">
      <c r="A81" s="35"/>
      <c r="B81" s="6"/>
      <c r="C81" s="6"/>
      <c r="D81" s="6"/>
      <c r="E81" s="6"/>
      <c r="F81" s="6"/>
      <c r="G81" s="6"/>
      <c r="H81" s="129"/>
      <c r="I81" s="129"/>
      <c r="J81" s="129"/>
      <c r="K81" s="129"/>
      <c r="L81" s="7"/>
      <c r="M81" s="7"/>
    </row>
    <row r="82" spans="1:13" s="27" customFormat="1" ht="15.75">
      <c r="A82" s="35"/>
      <c r="B82" s="6"/>
      <c r="C82" s="6"/>
      <c r="D82" s="6"/>
      <c r="E82" s="6"/>
      <c r="F82" s="6"/>
      <c r="G82" s="6"/>
      <c r="H82" s="129"/>
      <c r="I82" s="129"/>
      <c r="J82" s="129"/>
      <c r="K82" s="129"/>
      <c r="L82" s="7"/>
      <c r="M82" s="7"/>
    </row>
    <row r="83" spans="1:13" s="27" customFormat="1" ht="15.75">
      <c r="A83" s="35"/>
      <c r="B83" s="6"/>
      <c r="C83" s="6"/>
      <c r="D83" s="6"/>
      <c r="E83" s="6"/>
      <c r="F83" s="6"/>
      <c r="G83" s="36"/>
      <c r="H83" s="129"/>
      <c r="I83" s="129"/>
      <c r="J83" s="154"/>
      <c r="K83" s="154"/>
      <c r="L83" s="7"/>
      <c r="M83" s="7"/>
    </row>
    <row r="84" spans="1:13" s="27" customFormat="1" ht="15.75">
      <c r="A84" s="35"/>
      <c r="B84" s="6"/>
      <c r="C84" s="6"/>
      <c r="D84" s="6"/>
      <c r="E84" s="6"/>
      <c r="F84" s="6"/>
      <c r="G84" s="6"/>
      <c r="H84" s="129"/>
      <c r="I84" s="129"/>
      <c r="J84" s="129"/>
      <c r="K84" s="129"/>
      <c r="L84" s="7"/>
      <c r="M84" s="7"/>
    </row>
    <row r="85" spans="1:13" s="27" customFormat="1" ht="15.75">
      <c r="A85" s="35"/>
      <c r="B85" s="6"/>
      <c r="C85" s="6"/>
      <c r="D85" s="6"/>
      <c r="E85" s="6"/>
      <c r="F85" s="6"/>
      <c r="G85" s="6"/>
      <c r="H85" s="129"/>
      <c r="I85" s="129"/>
      <c r="J85" s="129"/>
      <c r="K85" s="129"/>
      <c r="L85" s="7"/>
      <c r="M85" s="7"/>
    </row>
    <row r="86" spans="1:13" s="27" customFormat="1" ht="15.75">
      <c r="A86" s="35"/>
      <c r="B86" s="25"/>
      <c r="C86" s="25"/>
      <c r="D86" s="25"/>
      <c r="E86" s="25"/>
      <c r="F86" s="25"/>
      <c r="G86" s="25"/>
      <c r="H86" s="25"/>
      <c r="I86" s="103"/>
      <c r="J86" s="25"/>
      <c r="K86" s="25"/>
      <c r="L86" s="25"/>
      <c r="M86" s="25"/>
    </row>
    <row r="87" spans="1:13" s="27" customFormat="1" ht="15.75">
      <c r="A87" s="35" t="s">
        <v>71</v>
      </c>
      <c r="B87" s="25" t="s">
        <v>67</v>
      </c>
      <c r="C87" s="25"/>
      <c r="D87" s="25"/>
      <c r="E87" s="25"/>
      <c r="F87" s="25"/>
      <c r="G87" s="25"/>
      <c r="H87" s="25"/>
      <c r="I87" s="103"/>
      <c r="J87" s="25"/>
      <c r="K87" s="25"/>
      <c r="L87" s="25"/>
      <c r="M87" s="25"/>
    </row>
    <row r="88" spans="1:13" s="27" customFormat="1" ht="9.75" customHeight="1">
      <c r="A88" s="1"/>
      <c r="B88" s="25"/>
      <c r="C88" s="25"/>
      <c r="D88" s="25"/>
      <c r="E88" s="25"/>
      <c r="F88" s="25"/>
      <c r="G88" s="25"/>
      <c r="H88" s="25"/>
      <c r="I88" s="103"/>
      <c r="J88" s="25"/>
      <c r="K88" s="25"/>
      <c r="L88" s="25"/>
      <c r="M88" s="25"/>
    </row>
    <row r="89" spans="1:13" s="27" customFormat="1" ht="39.75" customHeight="1">
      <c r="A89" s="1"/>
      <c r="B89" s="151" t="s">
        <v>142</v>
      </c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</row>
    <row r="90" spans="1:13" s="27" customFormat="1" ht="16.5" customHeight="1">
      <c r="A90" s="1"/>
      <c r="B90" s="1"/>
      <c r="C90" s="29"/>
      <c r="D90" s="29"/>
      <c r="E90" s="29"/>
      <c r="F90" s="29"/>
      <c r="G90" s="29"/>
      <c r="H90" s="29"/>
      <c r="I90" s="102"/>
      <c r="J90" s="29"/>
      <c r="K90" s="29"/>
      <c r="L90" s="29"/>
      <c r="M90" s="3"/>
    </row>
    <row r="91" spans="1:13" s="27" customFormat="1" ht="18" customHeight="1">
      <c r="A91" s="1"/>
      <c r="B91" s="142" t="s">
        <v>144</v>
      </c>
      <c r="C91" s="148" t="s">
        <v>26</v>
      </c>
      <c r="D91" s="148" t="s">
        <v>25</v>
      </c>
      <c r="E91" s="127" t="s">
        <v>114</v>
      </c>
      <c r="F91" s="148" t="s">
        <v>27</v>
      </c>
      <c r="G91" s="148" t="s">
        <v>24</v>
      </c>
      <c r="H91" s="144" t="s">
        <v>138</v>
      </c>
      <c r="I91" s="145"/>
      <c r="J91" s="144" t="s">
        <v>139</v>
      </c>
      <c r="K91" s="145"/>
      <c r="L91" s="127" t="s">
        <v>140</v>
      </c>
      <c r="M91" s="127" t="s">
        <v>141</v>
      </c>
    </row>
    <row r="92" spans="1:13" s="27" customFormat="1" ht="18" customHeight="1">
      <c r="A92" s="1"/>
      <c r="B92" s="143"/>
      <c r="C92" s="149"/>
      <c r="D92" s="149"/>
      <c r="E92" s="155"/>
      <c r="F92" s="149"/>
      <c r="G92" s="149"/>
      <c r="H92" s="146"/>
      <c r="I92" s="147"/>
      <c r="J92" s="146"/>
      <c r="K92" s="147"/>
      <c r="L92" s="128"/>
      <c r="M92" s="128"/>
    </row>
    <row r="93" spans="1:13" s="108" customFormat="1" ht="15.95" customHeight="1">
      <c r="B93" s="70"/>
      <c r="C93" s="109"/>
      <c r="D93" s="109"/>
      <c r="F93" s="114"/>
      <c r="G93" s="110"/>
      <c r="H93" s="156"/>
      <c r="I93" s="156"/>
      <c r="J93" s="156"/>
      <c r="K93" s="156"/>
      <c r="L93" s="109"/>
      <c r="M93" s="109"/>
    </row>
    <row r="94" spans="1:13" s="27" customFormat="1" ht="15.95" customHeight="1">
      <c r="A94" s="1"/>
      <c r="B94" s="6"/>
      <c r="C94" s="6"/>
      <c r="D94" s="6"/>
      <c r="E94" s="6"/>
      <c r="F94" s="6"/>
      <c r="G94" s="6"/>
      <c r="H94" s="129"/>
      <c r="I94" s="129"/>
      <c r="J94" s="129"/>
      <c r="K94" s="129"/>
      <c r="L94" s="7"/>
      <c r="M94" s="7"/>
    </row>
    <row r="95" spans="1:13" s="27" customFormat="1" ht="15.95" customHeight="1">
      <c r="A95" s="1"/>
      <c r="B95" s="6"/>
      <c r="C95" s="6"/>
      <c r="D95" s="6"/>
      <c r="E95" s="6"/>
      <c r="F95" s="6"/>
      <c r="G95" s="6"/>
      <c r="H95" s="129"/>
      <c r="I95" s="129"/>
      <c r="J95" s="129"/>
      <c r="K95" s="129"/>
      <c r="L95" s="7"/>
      <c r="M95" s="7"/>
    </row>
    <row r="96" spans="1:13" s="27" customFormat="1" ht="15.95" customHeight="1">
      <c r="A96" s="1"/>
      <c r="B96" s="6"/>
      <c r="C96" s="6"/>
      <c r="D96" s="6"/>
      <c r="E96" s="6"/>
      <c r="F96" s="6"/>
      <c r="G96" s="6"/>
      <c r="H96" s="129"/>
      <c r="I96" s="129"/>
      <c r="J96" s="129"/>
      <c r="K96" s="129"/>
      <c r="L96" s="7"/>
      <c r="M96" s="7"/>
    </row>
    <row r="97" spans="1:257" s="27" customFormat="1" ht="15.95" customHeight="1">
      <c r="A97" s="1"/>
      <c r="B97" s="6"/>
      <c r="C97" s="6"/>
      <c r="D97" s="6"/>
      <c r="E97" s="6"/>
      <c r="F97" s="6"/>
      <c r="G97" s="6"/>
      <c r="H97" s="129"/>
      <c r="I97" s="129"/>
      <c r="J97" s="129"/>
      <c r="K97" s="129"/>
      <c r="L97" s="7"/>
      <c r="M97" s="7"/>
    </row>
    <row r="98" spans="1:257" s="27" customFormat="1" ht="15.95" customHeight="1">
      <c r="A98" s="1"/>
      <c r="B98" s="6"/>
      <c r="C98" s="6"/>
      <c r="D98" s="6"/>
      <c r="E98" s="6"/>
      <c r="F98" s="6"/>
      <c r="G98" s="6"/>
      <c r="H98" s="129"/>
      <c r="I98" s="129"/>
      <c r="J98" s="129"/>
      <c r="K98" s="129"/>
      <c r="L98" s="7"/>
      <c r="M98" s="7"/>
    </row>
    <row r="99" spans="1:257" s="27" customFormat="1" ht="15.75" thickBot="1">
      <c r="A99" s="1"/>
      <c r="B99" s="1"/>
      <c r="C99" s="1"/>
      <c r="D99" s="1"/>
      <c r="E99" s="1"/>
      <c r="F99" s="1"/>
      <c r="G99" s="1"/>
      <c r="H99" s="1"/>
      <c r="I99" s="10"/>
      <c r="J99" s="1"/>
      <c r="K99" s="1"/>
      <c r="L99" s="30"/>
      <c r="M99" s="3"/>
    </row>
    <row r="100" spans="1:257" s="1" customFormat="1" ht="12.75" customHeight="1">
      <c r="A100" s="132" t="s">
        <v>21</v>
      </c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4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  <c r="FS100" s="27"/>
      <c r="FT100" s="27"/>
      <c r="FU100" s="27"/>
      <c r="FV100" s="27"/>
      <c r="FW100" s="27"/>
      <c r="FX100" s="27"/>
      <c r="FY100" s="27"/>
      <c r="FZ100" s="27"/>
      <c r="GA100" s="27"/>
      <c r="GB100" s="27"/>
      <c r="GC100" s="27"/>
      <c r="GD100" s="27"/>
      <c r="GE100" s="27"/>
      <c r="GF100" s="27"/>
      <c r="GG100" s="27"/>
      <c r="GH100" s="27"/>
      <c r="GI100" s="27"/>
      <c r="GJ100" s="27"/>
      <c r="GK100" s="27"/>
      <c r="GL100" s="27"/>
      <c r="GM100" s="27"/>
      <c r="GN100" s="27"/>
      <c r="GO100" s="27"/>
      <c r="GP100" s="27"/>
      <c r="GQ100" s="27"/>
      <c r="GR100" s="27"/>
      <c r="GS100" s="27"/>
      <c r="GT100" s="27"/>
      <c r="GU100" s="27"/>
      <c r="GV100" s="27"/>
      <c r="GW100" s="27"/>
      <c r="GX100" s="27"/>
      <c r="GY100" s="27"/>
      <c r="GZ100" s="27"/>
      <c r="HA100" s="27"/>
      <c r="HB100" s="27"/>
      <c r="HC100" s="27"/>
      <c r="HD100" s="27"/>
      <c r="HE100" s="27"/>
      <c r="HF100" s="27"/>
      <c r="HG100" s="27"/>
      <c r="HH100" s="27"/>
      <c r="HI100" s="27"/>
      <c r="HJ100" s="27"/>
      <c r="HK100" s="27"/>
      <c r="HL100" s="27"/>
      <c r="HM100" s="27"/>
      <c r="HN100" s="27"/>
      <c r="HO100" s="27"/>
      <c r="HP100" s="27"/>
      <c r="HQ100" s="27"/>
      <c r="HR100" s="27"/>
      <c r="HS100" s="27"/>
      <c r="HT100" s="27"/>
      <c r="HU100" s="27"/>
      <c r="HV100" s="27"/>
      <c r="HW100" s="27"/>
      <c r="HX100" s="27"/>
      <c r="HY100" s="27"/>
      <c r="HZ100" s="27"/>
      <c r="IA100" s="27"/>
      <c r="IB100" s="27"/>
      <c r="IC100" s="27"/>
      <c r="ID100" s="27"/>
      <c r="IE100" s="27"/>
      <c r="IF100" s="27"/>
      <c r="IG100" s="27"/>
      <c r="IH100" s="27"/>
      <c r="II100" s="27"/>
      <c r="IJ100" s="27"/>
      <c r="IK100" s="27"/>
      <c r="IL100" s="27"/>
      <c r="IM100" s="27"/>
      <c r="IN100" s="27"/>
      <c r="IO100" s="27"/>
      <c r="IP100" s="27"/>
      <c r="IQ100" s="27"/>
      <c r="IR100" s="27"/>
      <c r="IS100" s="27"/>
      <c r="IT100" s="27"/>
      <c r="IU100" s="27"/>
      <c r="IV100" s="27"/>
      <c r="IW100" s="27"/>
    </row>
    <row r="101" spans="1:257" s="27" customFormat="1" ht="12.75" customHeight="1">
      <c r="A101" s="135"/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7"/>
    </row>
    <row r="102" spans="1:257" s="27" customFormat="1" ht="12.75" customHeight="1">
      <c r="A102" s="135"/>
      <c r="B102" s="136"/>
      <c r="C102" s="136"/>
      <c r="D102" s="136"/>
      <c r="E102" s="136"/>
      <c r="F102" s="136"/>
      <c r="G102" s="136"/>
      <c r="H102" s="136"/>
      <c r="I102" s="136"/>
      <c r="J102" s="136"/>
      <c r="K102" s="136"/>
      <c r="L102" s="136"/>
      <c r="M102" s="137"/>
    </row>
    <row r="103" spans="1:257" s="27" customFormat="1" ht="12.75" customHeight="1" thickBot="1">
      <c r="A103" s="138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40"/>
    </row>
    <row r="104" spans="1:257" s="27" customFormat="1">
      <c r="A104" s="9"/>
      <c r="B104" s="1"/>
      <c r="C104" s="1"/>
      <c r="D104" s="1"/>
      <c r="E104" s="1"/>
      <c r="F104" s="1"/>
      <c r="G104" s="1"/>
      <c r="H104" s="1"/>
      <c r="I104" s="10"/>
      <c r="J104" s="1"/>
      <c r="K104" s="3"/>
      <c r="L104" s="10"/>
      <c r="M104" s="11"/>
    </row>
    <row r="105" spans="1:257" s="27" customFormat="1" ht="15.95" customHeight="1">
      <c r="A105" s="12"/>
      <c r="B105" s="13" t="s">
        <v>22</v>
      </c>
      <c r="C105" s="13"/>
      <c r="D105" s="13"/>
      <c r="E105" s="13"/>
      <c r="F105" s="17" t="s">
        <v>12</v>
      </c>
      <c r="G105" s="13"/>
      <c r="H105" s="31"/>
      <c r="I105" s="104"/>
      <c r="J105" s="31"/>
      <c r="K105" s="31"/>
      <c r="L105" s="10"/>
      <c r="M105" s="11"/>
    </row>
    <row r="106" spans="1:257" s="27" customFormat="1" ht="15.95" customHeight="1">
      <c r="A106" s="12"/>
      <c r="B106" s="8" t="s">
        <v>39</v>
      </c>
      <c r="C106" s="14"/>
      <c r="D106" s="14"/>
      <c r="E106" s="14"/>
      <c r="F106" s="8" t="s">
        <v>40</v>
      </c>
      <c r="G106" s="14"/>
      <c r="H106" s="32"/>
      <c r="I106" s="105"/>
      <c r="J106" s="32"/>
      <c r="K106" s="32"/>
      <c r="L106" s="10"/>
      <c r="M106" s="11"/>
    </row>
    <row r="107" spans="1:257" s="27" customFormat="1" ht="8.1" customHeight="1">
      <c r="A107" s="12"/>
      <c r="B107" s="8"/>
      <c r="C107" s="8"/>
      <c r="D107" s="8"/>
      <c r="E107" s="8"/>
      <c r="F107" s="8"/>
      <c r="G107" s="8"/>
      <c r="H107" s="1"/>
      <c r="I107" s="10"/>
      <c r="J107" s="1"/>
      <c r="K107" s="3"/>
      <c r="L107" s="10"/>
      <c r="M107" s="11"/>
    </row>
    <row r="108" spans="1:257" s="27" customFormat="1" ht="15.95" customHeight="1">
      <c r="A108" s="20">
        <v>1</v>
      </c>
      <c r="B108" s="21" t="s">
        <v>41</v>
      </c>
      <c r="C108" s="22"/>
      <c r="D108" s="22">
        <v>30</v>
      </c>
      <c r="E108" s="22"/>
      <c r="F108" s="21" t="s">
        <v>13</v>
      </c>
      <c r="G108" s="8"/>
      <c r="H108" s="1"/>
      <c r="I108" s="10"/>
      <c r="J108" s="1"/>
      <c r="K108" s="3"/>
      <c r="L108" s="10"/>
      <c r="M108" s="11"/>
    </row>
    <row r="109" spans="1:257" s="27" customFormat="1" ht="15.95" customHeight="1">
      <c r="A109" s="20">
        <v>2</v>
      </c>
      <c r="B109" s="21" t="s">
        <v>0</v>
      </c>
      <c r="C109" s="22"/>
      <c r="D109" s="22">
        <v>31</v>
      </c>
      <c r="E109" s="22"/>
      <c r="F109" s="21" t="s">
        <v>14</v>
      </c>
      <c r="G109" s="8"/>
      <c r="H109" s="1"/>
      <c r="I109" s="10"/>
      <c r="J109" s="1"/>
      <c r="K109" s="3"/>
      <c r="L109" s="10"/>
      <c r="M109" s="11"/>
    </row>
    <row r="110" spans="1:257" s="27" customFormat="1" ht="15.95" customHeight="1">
      <c r="A110" s="20">
        <v>3</v>
      </c>
      <c r="B110" s="21" t="s">
        <v>42</v>
      </c>
      <c r="C110" s="22"/>
      <c r="D110" s="22">
        <v>32</v>
      </c>
      <c r="E110" s="22"/>
      <c r="F110" s="21" t="s">
        <v>42</v>
      </c>
      <c r="G110" s="8"/>
      <c r="H110" s="1"/>
      <c r="I110" s="10"/>
      <c r="J110" s="1"/>
      <c r="K110" s="3"/>
      <c r="L110" s="10"/>
      <c r="M110" s="11"/>
    </row>
    <row r="111" spans="1:257" s="27" customFormat="1" ht="15.95" customHeight="1">
      <c r="A111" s="20">
        <v>4</v>
      </c>
      <c r="B111" s="21" t="s">
        <v>1</v>
      </c>
      <c r="C111" s="22"/>
      <c r="D111" s="22">
        <v>33</v>
      </c>
      <c r="E111" s="22"/>
      <c r="F111" s="21" t="s">
        <v>1</v>
      </c>
      <c r="G111" s="8"/>
      <c r="H111" s="1"/>
      <c r="I111" s="10"/>
      <c r="J111" s="1"/>
      <c r="K111" s="3"/>
      <c r="L111" s="10"/>
      <c r="M111" s="11"/>
    </row>
    <row r="112" spans="1:257" s="27" customFormat="1" ht="15.95" customHeight="1">
      <c r="A112" s="20">
        <v>5</v>
      </c>
      <c r="B112" s="21" t="s">
        <v>7</v>
      </c>
      <c r="C112" s="22"/>
      <c r="D112" s="22">
        <v>34</v>
      </c>
      <c r="E112" s="22"/>
      <c r="F112" s="21" t="s">
        <v>7</v>
      </c>
      <c r="G112" s="8"/>
      <c r="H112" s="1"/>
      <c r="I112" s="10"/>
      <c r="J112" s="1"/>
      <c r="K112" s="3"/>
      <c r="L112" s="10"/>
      <c r="M112" s="11"/>
    </row>
    <row r="113" spans="1:13" s="27" customFormat="1" ht="15.95" customHeight="1">
      <c r="A113" s="20">
        <v>6</v>
      </c>
      <c r="B113" s="21" t="s">
        <v>8</v>
      </c>
      <c r="C113" s="22"/>
      <c r="D113" s="22">
        <v>35</v>
      </c>
      <c r="E113" s="22"/>
      <c r="F113" s="21" t="s">
        <v>8</v>
      </c>
      <c r="G113" s="8"/>
      <c r="H113" s="1"/>
      <c r="I113" s="10"/>
      <c r="J113" s="1"/>
      <c r="K113" s="3"/>
      <c r="L113" s="10"/>
      <c r="M113" s="11"/>
    </row>
    <row r="114" spans="1:13" s="27" customFormat="1" ht="15.95" customHeight="1">
      <c r="A114" s="20">
        <v>7</v>
      </c>
      <c r="B114" s="21" t="s">
        <v>43</v>
      </c>
      <c r="C114" s="22"/>
      <c r="D114" s="22">
        <v>36</v>
      </c>
      <c r="E114" s="22"/>
      <c r="F114" s="21" t="s">
        <v>43</v>
      </c>
      <c r="G114" s="8"/>
      <c r="H114" s="1"/>
      <c r="I114" s="10"/>
      <c r="J114" s="1"/>
      <c r="K114" s="3"/>
      <c r="L114" s="10"/>
      <c r="M114" s="11"/>
    </row>
    <row r="115" spans="1:13" s="27" customFormat="1" ht="15.95" customHeight="1">
      <c r="A115" s="20">
        <v>8</v>
      </c>
      <c r="B115" s="21" t="s">
        <v>4</v>
      </c>
      <c r="C115" s="22"/>
      <c r="D115" s="22">
        <v>37</v>
      </c>
      <c r="E115" s="22"/>
      <c r="F115" s="21" t="s">
        <v>4</v>
      </c>
      <c r="G115" s="8"/>
      <c r="H115" s="1"/>
      <c r="I115" s="10"/>
      <c r="J115" s="1"/>
      <c r="K115" s="3"/>
      <c r="L115" s="10"/>
      <c r="M115" s="11"/>
    </row>
    <row r="116" spans="1:13" s="27" customFormat="1" ht="15.95" customHeight="1">
      <c r="A116" s="20">
        <v>9</v>
      </c>
      <c r="B116" s="21" t="s">
        <v>3</v>
      </c>
      <c r="C116" s="22"/>
      <c r="D116" s="22">
        <v>38</v>
      </c>
      <c r="E116" s="22"/>
      <c r="F116" s="21" t="s">
        <v>3</v>
      </c>
      <c r="G116" s="8"/>
      <c r="H116" s="1"/>
      <c r="I116" s="10"/>
      <c r="J116" s="1"/>
      <c r="K116" s="3"/>
      <c r="L116" s="10"/>
      <c r="M116" s="11"/>
    </row>
    <row r="117" spans="1:13" s="27" customFormat="1" ht="15.95" customHeight="1">
      <c r="A117" s="20">
        <v>10</v>
      </c>
      <c r="B117" s="21" t="s">
        <v>6</v>
      </c>
      <c r="C117" s="21"/>
      <c r="D117" s="22">
        <v>39</v>
      </c>
      <c r="E117" s="22"/>
      <c r="F117" s="21" t="s">
        <v>6</v>
      </c>
      <c r="G117" s="8"/>
      <c r="H117" s="1"/>
      <c r="I117" s="10"/>
      <c r="J117" s="1"/>
      <c r="K117" s="3"/>
      <c r="L117" s="10"/>
      <c r="M117" s="11"/>
    </row>
    <row r="118" spans="1:13" s="27" customFormat="1" ht="15.95" customHeight="1">
      <c r="A118" s="20">
        <v>11</v>
      </c>
      <c r="B118" s="21" t="s">
        <v>2</v>
      </c>
      <c r="C118" s="21"/>
      <c r="D118" s="22">
        <v>40</v>
      </c>
      <c r="E118" s="22"/>
      <c r="F118" s="21" t="s">
        <v>2</v>
      </c>
      <c r="G118" s="17"/>
      <c r="H118" s="1"/>
      <c r="I118" s="10"/>
      <c r="J118" s="1"/>
      <c r="K118" s="3"/>
      <c r="L118" s="10"/>
      <c r="M118" s="11"/>
    </row>
    <row r="119" spans="1:13" s="27" customFormat="1" ht="15.95" customHeight="1">
      <c r="A119" s="20">
        <v>12</v>
      </c>
      <c r="B119" s="21" t="s">
        <v>44</v>
      </c>
      <c r="C119" s="21"/>
      <c r="D119" s="22">
        <v>41</v>
      </c>
      <c r="E119" s="22"/>
      <c r="F119" s="26" t="s">
        <v>45</v>
      </c>
      <c r="G119" s="14"/>
      <c r="H119" s="32"/>
      <c r="I119" s="105"/>
      <c r="J119" s="32"/>
      <c r="K119" s="32"/>
      <c r="L119" s="10"/>
      <c r="M119" s="11"/>
    </row>
    <row r="120" spans="1:13" s="27" customFormat="1" ht="15.95" customHeight="1">
      <c r="A120" s="20">
        <v>13</v>
      </c>
      <c r="B120" s="21" t="s">
        <v>46</v>
      </c>
      <c r="C120" s="21"/>
      <c r="D120" s="22">
        <v>42</v>
      </c>
      <c r="E120" s="22"/>
      <c r="F120" s="26" t="s">
        <v>46</v>
      </c>
      <c r="G120" s="15"/>
      <c r="H120" s="33"/>
      <c r="I120" s="105"/>
      <c r="J120" s="33"/>
      <c r="K120" s="3"/>
      <c r="L120" s="10"/>
      <c r="M120" s="11"/>
    </row>
    <row r="121" spans="1:13" s="27" customFormat="1" ht="15.95" customHeight="1">
      <c r="A121" s="20">
        <v>14</v>
      </c>
      <c r="B121" s="21" t="s">
        <v>10</v>
      </c>
      <c r="C121" s="21"/>
      <c r="D121" s="22">
        <v>43</v>
      </c>
      <c r="E121" s="22"/>
      <c r="F121" s="21" t="s">
        <v>10</v>
      </c>
      <c r="G121" s="8"/>
      <c r="H121" s="1"/>
      <c r="I121" s="10"/>
      <c r="J121" s="1"/>
      <c r="K121" s="3"/>
      <c r="L121" s="10"/>
      <c r="M121" s="11"/>
    </row>
    <row r="122" spans="1:13" s="27" customFormat="1" ht="15.95" customHeight="1">
      <c r="A122" s="20">
        <v>15</v>
      </c>
      <c r="B122" s="21" t="s">
        <v>47</v>
      </c>
      <c r="C122" s="21"/>
      <c r="D122" s="22">
        <v>44</v>
      </c>
      <c r="E122" s="22"/>
      <c r="F122" s="21" t="s">
        <v>47</v>
      </c>
      <c r="G122" s="8"/>
      <c r="H122" s="1"/>
      <c r="I122" s="10"/>
      <c r="J122" s="1"/>
      <c r="K122" s="3"/>
      <c r="L122" s="10"/>
      <c r="M122" s="11"/>
    </row>
    <row r="123" spans="1:13" s="27" customFormat="1" ht="15.95" customHeight="1">
      <c r="A123" s="20">
        <v>16</v>
      </c>
      <c r="B123" s="21" t="s">
        <v>9</v>
      </c>
      <c r="C123" s="21"/>
      <c r="D123" s="22">
        <v>45</v>
      </c>
      <c r="E123" s="22"/>
      <c r="F123" s="21" t="s">
        <v>9</v>
      </c>
      <c r="G123" s="8"/>
      <c r="H123" s="1"/>
      <c r="I123" s="10"/>
      <c r="J123" s="1"/>
      <c r="K123" s="3"/>
      <c r="L123" s="10"/>
      <c r="M123" s="11"/>
    </row>
    <row r="124" spans="1:13" s="27" customFormat="1" ht="15.95" customHeight="1">
      <c r="A124" s="20">
        <v>17</v>
      </c>
      <c r="B124" s="21" t="s">
        <v>16</v>
      </c>
      <c r="C124" s="21"/>
      <c r="D124" s="22">
        <v>46</v>
      </c>
      <c r="E124" s="22"/>
      <c r="F124" s="21" t="s">
        <v>16</v>
      </c>
      <c r="G124" s="8"/>
      <c r="H124" s="1"/>
      <c r="I124" s="10"/>
      <c r="J124" s="1"/>
      <c r="K124" s="3"/>
      <c r="L124" s="10"/>
      <c r="M124" s="11"/>
    </row>
    <row r="125" spans="1:13" s="27" customFormat="1" ht="15.95" customHeight="1">
      <c r="A125" s="20">
        <v>18</v>
      </c>
      <c r="B125" s="21" t="s">
        <v>48</v>
      </c>
      <c r="C125" s="21"/>
      <c r="D125" s="22">
        <v>47</v>
      </c>
      <c r="E125" s="22"/>
      <c r="F125" s="21" t="s">
        <v>15</v>
      </c>
      <c r="G125" s="8"/>
      <c r="H125" s="1"/>
      <c r="I125" s="10"/>
      <c r="J125" s="1"/>
      <c r="K125" s="3"/>
      <c r="L125" s="10"/>
      <c r="M125" s="11"/>
    </row>
    <row r="126" spans="1:13" s="27" customFormat="1" ht="15.95" customHeight="1">
      <c r="A126" s="20">
        <v>19</v>
      </c>
      <c r="B126" s="21" t="s">
        <v>49</v>
      </c>
      <c r="C126" s="21"/>
      <c r="D126" s="22">
        <v>48</v>
      </c>
      <c r="E126" s="22"/>
      <c r="F126" s="21" t="s">
        <v>17</v>
      </c>
      <c r="G126" s="8"/>
      <c r="H126" s="1"/>
      <c r="I126" s="10"/>
      <c r="J126" s="1"/>
      <c r="K126" s="3"/>
      <c r="L126" s="10"/>
      <c r="M126" s="11"/>
    </row>
    <row r="127" spans="1:13" s="27" customFormat="1" ht="15.95" customHeight="1">
      <c r="A127" s="23">
        <v>20</v>
      </c>
      <c r="B127" s="21" t="s">
        <v>50</v>
      </c>
      <c r="C127" s="21"/>
      <c r="D127" s="22">
        <v>49</v>
      </c>
      <c r="E127" s="22"/>
      <c r="F127" s="21" t="s">
        <v>50</v>
      </c>
      <c r="G127" s="8"/>
      <c r="H127" s="1"/>
      <c r="I127" s="10"/>
      <c r="J127" s="1"/>
      <c r="K127" s="3"/>
      <c r="L127" s="10"/>
      <c r="M127" s="11"/>
    </row>
    <row r="128" spans="1:13" s="27" customFormat="1" ht="15.95" customHeight="1">
      <c r="A128" s="23">
        <v>21</v>
      </c>
      <c r="B128" s="21" t="s">
        <v>51</v>
      </c>
      <c r="C128" s="18"/>
      <c r="D128" s="22">
        <v>50</v>
      </c>
      <c r="E128" s="22"/>
      <c r="F128" s="21" t="s">
        <v>19</v>
      </c>
      <c r="G128" s="8"/>
      <c r="H128" s="1"/>
      <c r="I128" s="10"/>
      <c r="J128" s="1"/>
      <c r="K128" s="3"/>
      <c r="L128" s="10"/>
      <c r="M128" s="11"/>
    </row>
    <row r="129" spans="1:13" s="27" customFormat="1" ht="15.95" customHeight="1">
      <c r="A129" s="23">
        <v>22</v>
      </c>
      <c r="B129" s="21" t="s">
        <v>52</v>
      </c>
      <c r="C129" s="18"/>
      <c r="D129" s="22">
        <v>51</v>
      </c>
      <c r="E129" s="22"/>
      <c r="F129" s="21" t="s">
        <v>53</v>
      </c>
      <c r="G129" s="8"/>
      <c r="H129" s="1"/>
      <c r="I129" s="10"/>
      <c r="J129" s="1"/>
      <c r="K129" s="3"/>
      <c r="L129" s="10"/>
      <c r="M129" s="11"/>
    </row>
    <row r="130" spans="1:13" s="27" customFormat="1" ht="28.5">
      <c r="A130" s="23">
        <v>23</v>
      </c>
      <c r="B130" s="18" t="s">
        <v>54</v>
      </c>
      <c r="C130" s="18"/>
      <c r="D130" s="22">
        <v>52</v>
      </c>
      <c r="E130" s="22"/>
      <c r="F130" s="157" t="s">
        <v>55</v>
      </c>
      <c r="G130" s="157"/>
      <c r="H130" s="157"/>
      <c r="I130" s="157"/>
      <c r="J130" s="1"/>
      <c r="K130" s="3"/>
      <c r="L130" s="10"/>
      <c r="M130" s="11"/>
    </row>
    <row r="131" spans="1:13" s="27" customFormat="1" ht="15.95" customHeight="1">
      <c r="A131" s="20">
        <v>24</v>
      </c>
      <c r="B131" s="21" t="s">
        <v>56</v>
      </c>
      <c r="C131" s="21"/>
      <c r="D131" s="22">
        <v>53</v>
      </c>
      <c r="E131" s="22"/>
      <c r="F131" s="21" t="s">
        <v>56</v>
      </c>
      <c r="G131" s="8"/>
      <c r="H131" s="1"/>
      <c r="I131" s="10"/>
      <c r="J131" s="1"/>
      <c r="K131" s="3"/>
      <c r="L131" s="10"/>
      <c r="M131" s="11"/>
    </row>
    <row r="132" spans="1:13" s="27" customFormat="1" ht="15.95" customHeight="1">
      <c r="A132" s="20">
        <v>25</v>
      </c>
      <c r="B132" s="21" t="s">
        <v>57</v>
      </c>
      <c r="C132" s="21"/>
      <c r="D132" s="22">
        <v>54</v>
      </c>
      <c r="E132" s="22"/>
      <c r="F132" s="21" t="s">
        <v>57</v>
      </c>
      <c r="G132" s="8"/>
      <c r="H132" s="1"/>
      <c r="I132" s="10"/>
      <c r="J132" s="1"/>
      <c r="K132" s="3"/>
      <c r="L132" s="10"/>
      <c r="M132" s="11"/>
    </row>
    <row r="133" spans="1:13" s="27" customFormat="1" ht="15.95" customHeight="1">
      <c r="A133" s="20">
        <v>26</v>
      </c>
      <c r="B133" s="21" t="s">
        <v>5</v>
      </c>
      <c r="C133" s="21"/>
      <c r="D133" s="22">
        <v>55</v>
      </c>
      <c r="E133" s="22"/>
      <c r="F133" s="21" t="s">
        <v>5</v>
      </c>
      <c r="G133" s="8"/>
      <c r="H133" s="1"/>
      <c r="I133" s="10"/>
      <c r="J133" s="1"/>
      <c r="K133" s="3"/>
      <c r="L133" s="10"/>
      <c r="M133" s="11"/>
    </row>
    <row r="134" spans="1:13" s="27" customFormat="1" ht="15.95" customHeight="1">
      <c r="A134" s="20">
        <v>27</v>
      </c>
      <c r="B134" s="21" t="s">
        <v>23</v>
      </c>
      <c r="C134" s="21"/>
      <c r="D134" s="22">
        <v>56</v>
      </c>
      <c r="E134" s="22"/>
      <c r="F134" s="21" t="s">
        <v>18</v>
      </c>
      <c r="G134" s="8"/>
      <c r="H134" s="1"/>
      <c r="I134" s="10"/>
      <c r="J134" s="1"/>
      <c r="K134" s="3"/>
      <c r="L134" s="10"/>
      <c r="M134" s="11"/>
    </row>
    <row r="135" spans="1:13" s="27" customFormat="1" ht="15.95" customHeight="1">
      <c r="A135" s="20">
        <v>28</v>
      </c>
      <c r="B135" s="21" t="s">
        <v>58</v>
      </c>
      <c r="C135" s="21"/>
      <c r="D135" s="22">
        <v>57</v>
      </c>
      <c r="E135" s="22"/>
      <c r="F135" s="21" t="s">
        <v>58</v>
      </c>
      <c r="G135" s="8"/>
      <c r="H135" s="1"/>
      <c r="I135" s="10"/>
      <c r="J135" s="1"/>
      <c r="K135" s="3"/>
      <c r="L135" s="10"/>
      <c r="M135" s="11"/>
    </row>
    <row r="136" spans="1:13" s="27" customFormat="1" ht="15.95" customHeight="1">
      <c r="A136" s="20">
        <v>29</v>
      </c>
      <c r="B136" s="21" t="s">
        <v>11</v>
      </c>
      <c r="C136" s="21"/>
      <c r="D136" s="22">
        <v>58</v>
      </c>
      <c r="E136" s="22"/>
      <c r="F136" s="21" t="s">
        <v>20</v>
      </c>
      <c r="G136" s="8"/>
      <c r="H136" s="1"/>
      <c r="I136" s="10"/>
      <c r="J136" s="1"/>
      <c r="K136" s="3"/>
      <c r="L136" s="10"/>
      <c r="M136" s="11"/>
    </row>
    <row r="137" spans="1:13" s="27" customFormat="1" ht="15.95" customHeight="1">
      <c r="A137" s="16"/>
      <c r="B137" s="8"/>
      <c r="C137" s="8"/>
      <c r="D137" s="8"/>
      <c r="E137" s="8"/>
      <c r="F137" s="8"/>
      <c r="G137" s="8"/>
      <c r="H137" s="1"/>
      <c r="I137" s="10"/>
      <c r="J137" s="1"/>
      <c r="K137" s="3"/>
      <c r="L137" s="10"/>
      <c r="M137" s="11"/>
    </row>
    <row r="138" spans="1:13" s="27" customFormat="1" ht="15.95" customHeight="1">
      <c r="A138" s="16"/>
      <c r="B138" s="8"/>
      <c r="C138" s="8"/>
      <c r="D138" s="8"/>
      <c r="E138" s="8"/>
      <c r="F138" s="8"/>
      <c r="G138" s="8"/>
      <c r="H138" s="1"/>
      <c r="I138" s="10"/>
      <c r="J138" s="1"/>
      <c r="K138" s="3"/>
      <c r="L138" s="10"/>
      <c r="M138" s="11"/>
    </row>
    <row r="139" spans="1:13" s="27" customFormat="1" ht="15.95" customHeight="1">
      <c r="A139" s="16"/>
      <c r="B139" s="13" t="s">
        <v>59</v>
      </c>
      <c r="C139" s="8"/>
      <c r="D139" s="8"/>
      <c r="E139" s="8"/>
      <c r="F139" s="17" t="s">
        <v>60</v>
      </c>
      <c r="G139" s="8"/>
      <c r="H139" s="1"/>
      <c r="I139" s="10"/>
      <c r="J139" s="1"/>
      <c r="K139" s="3"/>
      <c r="L139" s="10"/>
      <c r="M139" s="11"/>
    </row>
    <row r="140" spans="1:13" s="27" customFormat="1" ht="15.95" customHeight="1">
      <c r="A140" s="16"/>
      <c r="B140" s="8"/>
      <c r="C140" s="8"/>
      <c r="D140" s="8"/>
      <c r="E140" s="8"/>
      <c r="F140" s="8"/>
      <c r="G140" s="8"/>
      <c r="H140" s="1"/>
      <c r="I140" s="10"/>
      <c r="J140" s="1"/>
      <c r="K140" s="3"/>
      <c r="L140" s="10"/>
      <c r="M140" s="11"/>
    </row>
    <row r="141" spans="1:13" s="27" customFormat="1" ht="15.95" customHeight="1">
      <c r="A141" s="24">
        <v>59</v>
      </c>
      <c r="B141" s="8" t="s">
        <v>61</v>
      </c>
      <c r="C141" s="18"/>
      <c r="D141" s="18">
        <v>61</v>
      </c>
      <c r="E141" s="18"/>
      <c r="F141" s="8" t="s">
        <v>62</v>
      </c>
      <c r="G141" s="8"/>
      <c r="H141" s="1"/>
      <c r="I141" s="10"/>
      <c r="J141" s="1"/>
      <c r="K141" s="3"/>
      <c r="L141" s="10"/>
      <c r="M141" s="11"/>
    </row>
    <row r="142" spans="1:13" s="27" customFormat="1" ht="15.95" customHeight="1">
      <c r="A142" s="24">
        <v>60</v>
      </c>
      <c r="B142" s="8" t="s">
        <v>63</v>
      </c>
      <c r="C142" s="18"/>
      <c r="D142" s="18">
        <v>62</v>
      </c>
      <c r="E142" s="18"/>
      <c r="F142" s="8" t="s">
        <v>64</v>
      </c>
      <c r="G142" s="8"/>
      <c r="H142" s="1"/>
      <c r="I142" s="10"/>
      <c r="J142" s="1"/>
      <c r="K142" s="3"/>
      <c r="L142" s="10"/>
      <c r="M142" s="11"/>
    </row>
    <row r="143" spans="1:13" s="27" customFormat="1" ht="15.95" customHeight="1">
      <c r="A143" s="24"/>
      <c r="B143" s="18"/>
      <c r="C143" s="18"/>
      <c r="D143" s="18">
        <v>63</v>
      </c>
      <c r="E143" s="18"/>
      <c r="F143" s="8" t="s">
        <v>65</v>
      </c>
      <c r="G143" s="8"/>
      <c r="H143" s="1"/>
      <c r="I143" s="10"/>
      <c r="J143" s="1"/>
      <c r="K143" s="3"/>
      <c r="L143" s="10"/>
      <c r="M143" s="11"/>
    </row>
    <row r="144" spans="1:13" s="27" customFormat="1">
      <c r="A144" s="34"/>
      <c r="B144" s="1"/>
      <c r="C144" s="1"/>
      <c r="D144" s="1"/>
      <c r="E144" s="1"/>
      <c r="F144" s="1"/>
      <c r="G144" s="1"/>
      <c r="H144" s="1"/>
      <c r="I144" s="10"/>
      <c r="J144" s="1"/>
      <c r="K144" s="3"/>
      <c r="L144" s="10"/>
      <c r="M144" s="11"/>
    </row>
  </sheetData>
  <autoFilter ref="B32:L33" xr:uid="{00000000-0009-0000-0000-000000000000}">
    <sortState xmlns:xlrd2="http://schemas.microsoft.com/office/spreadsheetml/2017/richdata2" ref="B30:M33">
      <sortCondition descending="1" ref="L28:L29"/>
    </sortState>
  </autoFilter>
  <mergeCells count="72">
    <mergeCell ref="M91:M92"/>
    <mergeCell ref="F130:I130"/>
    <mergeCell ref="H94:I94"/>
    <mergeCell ref="J94:K94"/>
    <mergeCell ref="H95:I95"/>
    <mergeCell ref="J95:K95"/>
    <mergeCell ref="H96:I96"/>
    <mergeCell ref="J96:K96"/>
    <mergeCell ref="H97:I97"/>
    <mergeCell ref="J97:K97"/>
    <mergeCell ref="H98:I98"/>
    <mergeCell ref="J98:K98"/>
    <mergeCell ref="A100:M103"/>
    <mergeCell ref="H93:I93"/>
    <mergeCell ref="J93:K93"/>
    <mergeCell ref="H84:I84"/>
    <mergeCell ref="J84:K84"/>
    <mergeCell ref="H85:I85"/>
    <mergeCell ref="J85:K85"/>
    <mergeCell ref="B89:M89"/>
    <mergeCell ref="B91:B92"/>
    <mergeCell ref="C91:C92"/>
    <mergeCell ref="D91:D92"/>
    <mergeCell ref="E91:E92"/>
    <mergeCell ref="F91:F92"/>
    <mergeCell ref="G91:G92"/>
    <mergeCell ref="H91:I92"/>
    <mergeCell ref="J91:K92"/>
    <mergeCell ref="L91:L92"/>
    <mergeCell ref="H81:I81"/>
    <mergeCell ref="J81:K81"/>
    <mergeCell ref="H82:I82"/>
    <mergeCell ref="J82:K82"/>
    <mergeCell ref="H83:I83"/>
    <mergeCell ref="J83:K83"/>
    <mergeCell ref="H80:I80"/>
    <mergeCell ref="J80:K80"/>
    <mergeCell ref="I32:I33"/>
    <mergeCell ref="J32:J33"/>
    <mergeCell ref="L32:L33"/>
    <mergeCell ref="H78:I79"/>
    <mergeCell ref="J78:K79"/>
    <mergeCell ref="L78:L79"/>
    <mergeCell ref="M32:M33"/>
    <mergeCell ref="B76:C76"/>
    <mergeCell ref="B78:B79"/>
    <mergeCell ref="C78:C79"/>
    <mergeCell ref="D78:D79"/>
    <mergeCell ref="E78:E79"/>
    <mergeCell ref="F78:F79"/>
    <mergeCell ref="G78:G79"/>
    <mergeCell ref="M78:M79"/>
    <mergeCell ref="I30:J30"/>
    <mergeCell ref="B32:B33"/>
    <mergeCell ref="C32:C33"/>
    <mergeCell ref="D32:D33"/>
    <mergeCell ref="E32:E33"/>
    <mergeCell ref="F32:F33"/>
    <mergeCell ref="G32:G33"/>
    <mergeCell ref="A2:M2"/>
    <mergeCell ref="A3:M3"/>
    <mergeCell ref="C6:L6"/>
    <mergeCell ref="I8:J8"/>
    <mergeCell ref="B10:B11"/>
    <mergeCell ref="C10:C11"/>
    <mergeCell ref="D10:D11"/>
    <mergeCell ref="E10:E11"/>
    <mergeCell ref="F10:F11"/>
    <mergeCell ref="G10:G11"/>
    <mergeCell ref="I10:I11"/>
    <mergeCell ref="J10:J11"/>
    <mergeCell ref="L10:L11"/>
  </mergeCells>
  <pageMargins left="0.75" right="0.75" top="1" bottom="1" header="0" footer="0"/>
  <pageSetup scale="4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5EF0-66FC-495A-9EB5-CD61A6D94668}">
  <sheetPr>
    <tabColor theme="8" tint="-0.249977111117893"/>
  </sheetPr>
  <dimension ref="A1:S11"/>
  <sheetViews>
    <sheetView workbookViewId="0">
      <selection activeCell="D5" sqref="D5"/>
    </sheetView>
  </sheetViews>
  <sheetFormatPr baseColWidth="10" defaultColWidth="11.42578125" defaultRowHeight="12.75"/>
  <cols>
    <col min="1" max="1" width="11.42578125" style="42"/>
    <col min="2" max="2" width="36.28515625" style="42" bestFit="1" customWidth="1"/>
    <col min="3" max="3" width="32.28515625" style="42" bestFit="1" customWidth="1"/>
    <col min="4" max="10" width="11.42578125" style="42"/>
    <col min="11" max="11" width="12.28515625" style="42" bestFit="1" customWidth="1"/>
    <col min="12" max="16" width="11.42578125" style="42"/>
    <col min="17" max="17" width="19.7109375" style="42" bestFit="1" customWidth="1"/>
    <col min="18" max="16384" width="11.42578125" style="42"/>
  </cols>
  <sheetData>
    <row r="1" spans="1:19">
      <c r="A1" s="76"/>
      <c r="B1" s="76"/>
      <c r="C1" s="76"/>
      <c r="D1" s="76"/>
      <c r="E1" s="76"/>
      <c r="F1" s="76"/>
      <c r="G1" s="77"/>
      <c r="H1" s="77"/>
      <c r="I1" s="77"/>
      <c r="J1" s="77"/>
      <c r="K1" s="77"/>
      <c r="L1" s="76"/>
      <c r="M1" s="76"/>
      <c r="N1" s="76"/>
      <c r="O1" s="76"/>
      <c r="P1" s="76"/>
      <c r="Q1" s="76"/>
      <c r="R1" s="76"/>
      <c r="S1" s="76"/>
    </row>
    <row r="2" spans="1:19" ht="15">
      <c r="A2" s="78" t="s">
        <v>94</v>
      </c>
      <c r="B2" s="79"/>
      <c r="C2" s="79"/>
      <c r="D2" s="79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19" ht="15">
      <c r="A3" s="78"/>
      <c r="B3" s="79"/>
      <c r="C3" s="79"/>
      <c r="D3" s="79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1:19">
      <c r="A4" s="115" t="s">
        <v>145</v>
      </c>
      <c r="B4" s="80"/>
      <c r="C4" s="80"/>
      <c r="D4" s="80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</row>
    <row r="5" spans="1:19">
      <c r="A5" s="81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</row>
    <row r="6" spans="1:19" ht="13.5" thickBot="1">
      <c r="A6" s="82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80"/>
      <c r="N6" s="76"/>
      <c r="O6" s="76"/>
      <c r="P6" s="76"/>
      <c r="Q6" s="76"/>
      <c r="R6" s="76"/>
      <c r="S6" s="76"/>
    </row>
    <row r="7" spans="1:19" ht="128.44999999999999" customHeight="1" thickBot="1">
      <c r="A7" s="121" t="s">
        <v>95</v>
      </c>
      <c r="B7" s="122" t="s">
        <v>96</v>
      </c>
      <c r="C7" s="123" t="s">
        <v>97</v>
      </c>
      <c r="D7" s="122" t="s">
        <v>98</v>
      </c>
      <c r="E7" s="123" t="s">
        <v>99</v>
      </c>
      <c r="F7" s="122" t="s">
        <v>100</v>
      </c>
      <c r="G7" s="122" t="s">
        <v>101</v>
      </c>
      <c r="H7" s="123" t="s">
        <v>102</v>
      </c>
      <c r="I7" s="122" t="s">
        <v>103</v>
      </c>
      <c r="J7" s="122" t="s">
        <v>104</v>
      </c>
      <c r="K7" s="122" t="s">
        <v>115</v>
      </c>
      <c r="L7" s="122" t="s">
        <v>116</v>
      </c>
      <c r="M7" s="122" t="s">
        <v>117</v>
      </c>
      <c r="N7" s="122" t="s">
        <v>105</v>
      </c>
      <c r="O7" s="122" t="s">
        <v>106</v>
      </c>
      <c r="P7" s="122" t="s">
        <v>107</v>
      </c>
      <c r="Q7" s="122" t="s">
        <v>108</v>
      </c>
      <c r="R7" s="124" t="s">
        <v>109</v>
      </c>
      <c r="S7" s="125" t="s">
        <v>110</v>
      </c>
    </row>
    <row r="8" spans="1:19">
      <c r="A8" s="73">
        <v>1</v>
      </c>
      <c r="B8" s="70"/>
      <c r="C8" s="70"/>
      <c r="D8" s="74"/>
      <c r="E8" s="83"/>
      <c r="F8" s="84"/>
      <c r="G8" s="75"/>
      <c r="H8" s="73">
        <v>1</v>
      </c>
      <c r="I8" s="85" t="s">
        <v>111</v>
      </c>
      <c r="J8" s="84"/>
      <c r="K8" s="84"/>
      <c r="L8" s="84">
        <v>0</v>
      </c>
      <c r="M8" s="84">
        <v>0</v>
      </c>
      <c r="N8" s="86"/>
      <c r="O8" s="85" t="s">
        <v>111</v>
      </c>
      <c r="P8" s="85" t="s">
        <v>111</v>
      </c>
      <c r="Q8" s="87"/>
      <c r="R8" s="88"/>
      <c r="S8" s="89"/>
    </row>
    <row r="9" spans="1:19">
      <c r="A9" s="69">
        <v>2</v>
      </c>
      <c r="B9" s="70"/>
      <c r="C9" s="70"/>
      <c r="D9" s="70"/>
      <c r="E9" s="90"/>
      <c r="F9" s="91"/>
      <c r="G9" s="71"/>
      <c r="H9" s="69">
        <v>1</v>
      </c>
      <c r="I9" s="72" t="s">
        <v>111</v>
      </c>
      <c r="J9" s="91"/>
      <c r="K9" s="91">
        <v>0</v>
      </c>
      <c r="L9" s="91">
        <v>0</v>
      </c>
      <c r="M9" s="91">
        <v>0</v>
      </c>
      <c r="N9" s="92"/>
      <c r="O9" s="72" t="s">
        <v>111</v>
      </c>
      <c r="P9" s="72" t="s">
        <v>111</v>
      </c>
      <c r="Q9" s="93"/>
      <c r="R9" s="94"/>
      <c r="S9" s="95"/>
    </row>
    <row r="10" spans="1:19">
      <c r="A10" s="69">
        <v>3</v>
      </c>
      <c r="B10" s="70"/>
      <c r="C10" s="70"/>
      <c r="D10" s="70"/>
      <c r="E10" s="90"/>
      <c r="F10" s="91"/>
      <c r="G10" s="71"/>
      <c r="H10" s="69">
        <v>1</v>
      </c>
      <c r="I10" s="72" t="s">
        <v>111</v>
      </c>
      <c r="J10" s="91"/>
      <c r="K10" s="91">
        <v>0</v>
      </c>
      <c r="L10" s="91">
        <v>0</v>
      </c>
      <c r="M10" s="91">
        <v>0</v>
      </c>
      <c r="N10" s="92"/>
      <c r="O10" s="72" t="s">
        <v>111</v>
      </c>
      <c r="P10" s="72" t="s">
        <v>111</v>
      </c>
      <c r="Q10" s="93"/>
      <c r="R10" s="96"/>
      <c r="S10" s="95"/>
    </row>
    <row r="11" spans="1:19">
      <c r="A11" s="97"/>
      <c r="B11" s="97"/>
      <c r="C11" s="98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15B0-FA1C-4E2F-9D43-5D76F4E2FABC}">
  <sheetPr>
    <tabColor rgb="FFC00000"/>
  </sheetPr>
  <dimension ref="A2:D11"/>
  <sheetViews>
    <sheetView workbookViewId="0">
      <selection activeCell="C23" sqref="C23"/>
    </sheetView>
  </sheetViews>
  <sheetFormatPr baseColWidth="10" defaultRowHeight="12.75"/>
  <cols>
    <col min="1" max="1" width="34.7109375" customWidth="1"/>
    <col min="2" max="2" width="54.85546875" customWidth="1"/>
    <col min="3" max="4" width="17.42578125" customWidth="1"/>
  </cols>
  <sheetData>
    <row r="2" spans="1:4" ht="18">
      <c r="B2" s="158" t="s">
        <v>136</v>
      </c>
      <c r="C2" s="158"/>
      <c r="D2" s="158"/>
    </row>
    <row r="4" spans="1:4" ht="15">
      <c r="A4" s="116" t="s">
        <v>118</v>
      </c>
      <c r="B4" t="s">
        <v>119</v>
      </c>
      <c r="C4" s="117" t="s">
        <v>120</v>
      </c>
      <c r="D4" s="117" t="s">
        <v>121</v>
      </c>
    </row>
    <row r="5" spans="1:4" ht="15">
      <c r="A5" s="116" t="s">
        <v>122</v>
      </c>
      <c r="B5" t="s">
        <v>123</v>
      </c>
      <c r="C5" s="117" t="s">
        <v>120</v>
      </c>
      <c r="D5" s="117" t="s">
        <v>121</v>
      </c>
    </row>
    <row r="6" spans="1:4" ht="15">
      <c r="A6" s="116" t="s">
        <v>124</v>
      </c>
      <c r="B6" t="s">
        <v>125</v>
      </c>
      <c r="C6" s="117" t="s">
        <v>120</v>
      </c>
      <c r="D6" s="117" t="s">
        <v>121</v>
      </c>
    </row>
    <row r="7" spans="1:4" ht="15">
      <c r="A7" s="116" t="s">
        <v>126</v>
      </c>
      <c r="B7" t="s">
        <v>127</v>
      </c>
      <c r="C7" s="117" t="s">
        <v>120</v>
      </c>
      <c r="D7" s="117" t="s">
        <v>121</v>
      </c>
    </row>
    <row r="8" spans="1:4" ht="15">
      <c r="A8" s="116" t="s">
        <v>128</v>
      </c>
      <c r="B8" t="s">
        <v>129</v>
      </c>
      <c r="C8" s="117" t="s">
        <v>120</v>
      </c>
      <c r="D8" s="117" t="s">
        <v>121</v>
      </c>
    </row>
    <row r="9" spans="1:4" ht="15">
      <c r="A9" s="116" t="s">
        <v>130</v>
      </c>
      <c r="B9" t="s">
        <v>131</v>
      </c>
      <c r="C9" s="117" t="s">
        <v>120</v>
      </c>
      <c r="D9" s="117" t="s">
        <v>121</v>
      </c>
    </row>
    <row r="10" spans="1:4" ht="15">
      <c r="A10" s="116" t="s">
        <v>132</v>
      </c>
      <c r="B10" t="s">
        <v>133</v>
      </c>
      <c r="C10" s="159"/>
      <c r="D10" s="159"/>
    </row>
    <row r="11" spans="1:4" ht="15">
      <c r="A11" s="116" t="s">
        <v>134</v>
      </c>
      <c r="B11" t="s">
        <v>135</v>
      </c>
      <c r="C11" s="159"/>
      <c r="D11" s="159"/>
    </row>
  </sheetData>
  <mergeCells count="3">
    <mergeCell ref="B2:D2"/>
    <mergeCell ref="C10:D10"/>
    <mergeCell ref="C11:D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84CB-DB38-4D25-B4F1-F05FD07E6F79}">
  <sheetPr>
    <tabColor theme="1"/>
  </sheetPr>
  <dimension ref="A1:O34"/>
  <sheetViews>
    <sheetView workbookViewId="0">
      <selection activeCell="F16" sqref="F16"/>
    </sheetView>
  </sheetViews>
  <sheetFormatPr baseColWidth="10" defaultRowHeight="12.75"/>
  <cols>
    <col min="3" max="3" width="4.7109375" bestFit="1" customWidth="1"/>
    <col min="4" max="4" width="41.140625" bestFit="1" customWidth="1"/>
  </cols>
  <sheetData>
    <row r="1" spans="1:15" ht="36.6" customHeight="1">
      <c r="A1" s="160" t="s">
        <v>146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4" spans="1:15" ht="16.7" customHeight="1">
      <c r="A4" s="161" t="s">
        <v>172</v>
      </c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</row>
    <row r="5" spans="1:15">
      <c r="A5" s="161"/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</row>
    <row r="10" spans="1:15">
      <c r="C10" s="126">
        <v>1</v>
      </c>
      <c r="D10" t="s">
        <v>147</v>
      </c>
    </row>
    <row r="11" spans="1:15">
      <c r="C11" s="126">
        <v>2</v>
      </c>
      <c r="D11" t="s">
        <v>148</v>
      </c>
    </row>
    <row r="12" spans="1:15">
      <c r="C12" s="126">
        <v>3</v>
      </c>
      <c r="D12" t="s">
        <v>149</v>
      </c>
    </row>
    <row r="13" spans="1:15">
      <c r="C13" s="126">
        <v>4</v>
      </c>
      <c r="D13" t="s">
        <v>150</v>
      </c>
    </row>
    <row r="14" spans="1:15">
      <c r="C14" s="126">
        <v>5</v>
      </c>
      <c r="D14" t="s">
        <v>151</v>
      </c>
    </row>
    <row r="15" spans="1:15">
      <c r="C15" s="126">
        <v>6</v>
      </c>
      <c r="D15" t="s">
        <v>152</v>
      </c>
    </row>
    <row r="16" spans="1:15">
      <c r="C16" s="126">
        <v>7</v>
      </c>
      <c r="D16" t="s">
        <v>153</v>
      </c>
    </row>
    <row r="17" spans="3:4">
      <c r="C17" s="126">
        <v>8</v>
      </c>
      <c r="D17" t="s">
        <v>154</v>
      </c>
    </row>
    <row r="18" spans="3:4">
      <c r="C18" s="126">
        <v>9</v>
      </c>
      <c r="D18" t="s">
        <v>155</v>
      </c>
    </row>
    <row r="19" spans="3:4">
      <c r="C19" s="126">
        <v>10</v>
      </c>
      <c r="D19" t="s">
        <v>156</v>
      </c>
    </row>
    <row r="20" spans="3:4">
      <c r="C20" s="126">
        <v>11</v>
      </c>
      <c r="D20" t="s">
        <v>157</v>
      </c>
    </row>
    <row r="21" spans="3:4">
      <c r="C21" s="126">
        <v>12</v>
      </c>
      <c r="D21" t="s">
        <v>158</v>
      </c>
    </row>
    <row r="22" spans="3:4">
      <c r="C22" s="126">
        <v>13</v>
      </c>
      <c r="D22" t="s">
        <v>159</v>
      </c>
    </row>
    <row r="23" spans="3:4">
      <c r="C23" s="126">
        <v>14</v>
      </c>
      <c r="D23" t="s">
        <v>160</v>
      </c>
    </row>
    <row r="24" spans="3:4">
      <c r="C24" s="126">
        <v>15</v>
      </c>
      <c r="D24" t="s">
        <v>161</v>
      </c>
    </row>
    <row r="25" spans="3:4">
      <c r="C25" s="126">
        <v>16</v>
      </c>
      <c r="D25" t="s">
        <v>162</v>
      </c>
    </row>
    <row r="26" spans="3:4">
      <c r="C26" s="126">
        <v>17</v>
      </c>
      <c r="D26" t="s">
        <v>163</v>
      </c>
    </row>
    <row r="27" spans="3:4">
      <c r="C27" s="126">
        <v>18</v>
      </c>
      <c r="D27" t="s">
        <v>164</v>
      </c>
    </row>
    <row r="28" spans="3:4">
      <c r="C28" s="126">
        <v>19</v>
      </c>
      <c r="D28" t="s">
        <v>165</v>
      </c>
    </row>
    <row r="29" spans="3:4">
      <c r="C29" s="126">
        <v>20</v>
      </c>
      <c r="D29" t="s">
        <v>166</v>
      </c>
    </row>
    <row r="30" spans="3:4">
      <c r="C30" s="126">
        <v>21</v>
      </c>
      <c r="D30" t="s">
        <v>167</v>
      </c>
    </row>
    <row r="31" spans="3:4">
      <c r="C31" s="126">
        <v>22</v>
      </c>
      <c r="D31" t="s">
        <v>168</v>
      </c>
    </row>
    <row r="32" spans="3:4">
      <c r="C32" s="126">
        <v>23</v>
      </c>
      <c r="D32" t="s">
        <v>169</v>
      </c>
    </row>
    <row r="33" spans="3:4">
      <c r="C33" s="126">
        <v>24</v>
      </c>
      <c r="D33" t="s">
        <v>170</v>
      </c>
    </row>
    <row r="34" spans="3:4">
      <c r="C34" s="126">
        <v>25</v>
      </c>
      <c r="D34" t="s">
        <v>171</v>
      </c>
    </row>
  </sheetData>
  <mergeCells count="2">
    <mergeCell ref="A1:O1"/>
    <mergeCell ref="A4:O5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>
      <selection activeCell="A11" sqref="A11"/>
    </sheetView>
  </sheetViews>
  <sheetFormatPr baseColWidth="10" defaultColWidth="11.42578125" defaultRowHeight="12.75"/>
  <cols>
    <col min="1" max="1" width="40.42578125" style="42" bestFit="1" customWidth="1"/>
    <col min="2" max="2" width="22.42578125" style="42" bestFit="1" customWidth="1"/>
    <col min="3" max="3" width="2.85546875" style="42" customWidth="1"/>
    <col min="4" max="4" width="23.7109375" style="42" bestFit="1" customWidth="1"/>
    <col min="5" max="5" width="2.42578125" style="42" hidden="1" customWidth="1"/>
    <col min="6" max="6" width="23.7109375" style="42" hidden="1" customWidth="1"/>
    <col min="7" max="7" width="2.42578125" style="42" customWidth="1"/>
    <col min="8" max="8" width="23.7109375" style="42" hidden="1" customWidth="1"/>
    <col min="9" max="9" width="2.42578125" style="42" hidden="1" customWidth="1"/>
    <col min="10" max="10" width="28.85546875" style="42" bestFit="1" customWidth="1"/>
    <col min="11" max="16384" width="11.42578125" style="42"/>
  </cols>
  <sheetData>
    <row r="1" spans="1:10">
      <c r="A1" s="40" t="s">
        <v>75</v>
      </c>
      <c r="B1" s="41"/>
      <c r="C1" s="41"/>
    </row>
    <row r="2" spans="1:10">
      <c r="A2" s="43" t="s">
        <v>76</v>
      </c>
      <c r="B2" s="44"/>
      <c r="C2" s="44"/>
    </row>
    <row r="3" spans="1:10">
      <c r="A3" s="43"/>
      <c r="B3" s="44"/>
      <c r="C3" s="44"/>
    </row>
    <row r="8" spans="1:10" ht="25.5">
      <c r="A8" s="44"/>
      <c r="B8" s="45" t="s">
        <v>77</v>
      </c>
      <c r="C8" s="44"/>
      <c r="D8" s="45" t="s">
        <v>78</v>
      </c>
      <c r="F8" s="46"/>
      <c r="G8" s="47"/>
      <c r="H8" s="45" t="s">
        <v>79</v>
      </c>
      <c r="I8" s="47"/>
      <c r="J8" s="162" t="s">
        <v>80</v>
      </c>
    </row>
    <row r="9" spans="1:10" ht="25.5">
      <c r="A9" s="44"/>
      <c r="B9" s="48" t="s">
        <v>112</v>
      </c>
      <c r="C9" s="44"/>
      <c r="D9" s="48" t="s">
        <v>112</v>
      </c>
      <c r="F9" s="48" t="s">
        <v>81</v>
      </c>
      <c r="G9" s="49"/>
      <c r="H9" s="48" t="s">
        <v>82</v>
      </c>
      <c r="I9" s="49"/>
      <c r="J9" s="162"/>
    </row>
    <row r="10" spans="1:10" ht="15" customHeight="1">
      <c r="A10" s="50" t="s">
        <v>92</v>
      </c>
      <c r="B10" s="51"/>
      <c r="C10" s="50"/>
      <c r="D10" s="51">
        <v>0</v>
      </c>
      <c r="F10" s="51">
        <v>0</v>
      </c>
      <c r="G10" s="52"/>
      <c r="H10" s="51">
        <v>0</v>
      </c>
      <c r="I10" s="52"/>
      <c r="J10" s="51">
        <f>SUM(B10:H10)</f>
        <v>0</v>
      </c>
    </row>
    <row r="11" spans="1:10" ht="13.5" thickBot="1">
      <c r="A11" s="44" t="s">
        <v>93</v>
      </c>
      <c r="B11" s="53">
        <f>SUM(B10)</f>
        <v>0</v>
      </c>
      <c r="C11" s="44"/>
      <c r="D11" s="53">
        <f>SUM(D10)</f>
        <v>0</v>
      </c>
      <c r="F11" s="53">
        <f>SUM(F10)</f>
        <v>0</v>
      </c>
      <c r="G11" s="52"/>
      <c r="H11" s="53">
        <f>SUM(H10)</f>
        <v>0</v>
      </c>
      <c r="I11" s="52"/>
      <c r="J11" s="53">
        <f>SUM(B11:H11)</f>
        <v>0</v>
      </c>
    </row>
    <row r="12" spans="1:10" ht="13.5" thickTop="1">
      <c r="A12" s="54"/>
      <c r="B12" s="52"/>
      <c r="C12" s="54"/>
      <c r="D12" s="52"/>
      <c r="F12" s="52"/>
      <c r="G12" s="52"/>
      <c r="H12" s="52"/>
      <c r="I12" s="52"/>
      <c r="J12" s="52"/>
    </row>
    <row r="13" spans="1:10">
      <c r="A13" s="55" t="s">
        <v>83</v>
      </c>
      <c r="B13" s="56"/>
      <c r="C13" s="55"/>
      <c r="D13" s="56">
        <v>0</v>
      </c>
      <c r="F13" s="56">
        <v>0</v>
      </c>
      <c r="G13" s="57"/>
      <c r="H13" s="56">
        <v>0</v>
      </c>
      <c r="I13" s="57"/>
      <c r="J13" s="56">
        <f>SUM(B13:H13)</f>
        <v>0</v>
      </c>
    </row>
    <row r="14" spans="1:10" ht="13.5" thickBot="1">
      <c r="A14" s="44" t="s">
        <v>84</v>
      </c>
      <c r="B14" s="58">
        <f>SUM(B12:B13)</f>
        <v>0</v>
      </c>
      <c r="C14" s="44"/>
      <c r="D14" s="58">
        <f>SUM(D12:D13)</f>
        <v>0</v>
      </c>
      <c r="F14" s="58">
        <v>0</v>
      </c>
      <c r="G14" s="52"/>
      <c r="H14" s="58">
        <v>0</v>
      </c>
      <c r="I14" s="52"/>
      <c r="J14" s="58">
        <f t="shared" ref="J14:J19" si="0">SUM(B14:H14)</f>
        <v>0</v>
      </c>
    </row>
    <row r="15" spans="1:10" ht="14.25" thickTop="1" thickBot="1">
      <c r="A15" s="59" t="s">
        <v>85</v>
      </c>
      <c r="B15" s="60">
        <f>+B11-B14</f>
        <v>0</v>
      </c>
      <c r="C15" s="59"/>
      <c r="D15" s="60">
        <f>+D11-D14</f>
        <v>0</v>
      </c>
      <c r="F15" s="60">
        <f>+F11-F14</f>
        <v>0</v>
      </c>
      <c r="G15" s="61"/>
      <c r="H15" s="60">
        <f>+H11-H14</f>
        <v>0</v>
      </c>
      <c r="I15" s="61"/>
      <c r="J15" s="60">
        <f t="shared" si="0"/>
        <v>0</v>
      </c>
    </row>
    <row r="16" spans="1:10" ht="13.5" thickTop="1">
      <c r="A16" s="62" t="s">
        <v>86</v>
      </c>
      <c r="B16" s="63">
        <v>0</v>
      </c>
      <c r="C16" s="62"/>
      <c r="D16" s="63">
        <v>0</v>
      </c>
      <c r="F16" s="63">
        <v>0</v>
      </c>
      <c r="G16" s="63"/>
      <c r="H16" s="63">
        <v>0</v>
      </c>
      <c r="I16" s="63"/>
      <c r="J16" s="63">
        <f t="shared" si="0"/>
        <v>0</v>
      </c>
    </row>
    <row r="17" spans="1:10">
      <c r="A17" s="62" t="s">
        <v>87</v>
      </c>
      <c r="B17" s="63">
        <v>0</v>
      </c>
      <c r="C17" s="62"/>
      <c r="D17" s="63">
        <v>0</v>
      </c>
      <c r="F17" s="63"/>
      <c r="G17" s="63"/>
      <c r="H17" s="63"/>
      <c r="I17" s="63"/>
      <c r="J17" s="63">
        <f t="shared" si="0"/>
        <v>0</v>
      </c>
    </row>
    <row r="18" spans="1:10" ht="13.5" thickBot="1">
      <c r="A18" s="44" t="s">
        <v>88</v>
      </c>
      <c r="B18" s="63">
        <f>SUM(B16:B17)</f>
        <v>0</v>
      </c>
      <c r="C18" s="44"/>
      <c r="D18" s="63">
        <f>SUM(D16:D17)</f>
        <v>0</v>
      </c>
      <c r="F18" s="63">
        <f>SUM(F16:F17)</f>
        <v>0</v>
      </c>
      <c r="G18" s="63"/>
      <c r="H18" s="63">
        <f>SUM(H16:H17)</f>
        <v>0</v>
      </c>
      <c r="I18" s="63"/>
      <c r="J18" s="63">
        <f t="shared" si="0"/>
        <v>0</v>
      </c>
    </row>
    <row r="19" spans="1:10" ht="14.25" thickTop="1" thickBot="1">
      <c r="A19" s="50" t="s">
        <v>89</v>
      </c>
      <c r="B19" s="64">
        <f>+B15-B18</f>
        <v>0</v>
      </c>
      <c r="C19" s="50"/>
      <c r="D19" s="64">
        <f>+D15-D18</f>
        <v>0</v>
      </c>
      <c r="F19" s="64">
        <f>+F13-F16</f>
        <v>0</v>
      </c>
      <c r="G19" s="52"/>
      <c r="H19" s="64">
        <f>+H13-H16</f>
        <v>0</v>
      </c>
      <c r="I19" s="52"/>
      <c r="J19" s="64">
        <f t="shared" si="0"/>
        <v>0</v>
      </c>
    </row>
    <row r="20" spans="1:10" ht="13.5" thickTop="1">
      <c r="A20" s="50"/>
      <c r="B20" s="52"/>
      <c r="C20" s="50"/>
      <c r="D20" s="52"/>
      <c r="F20" s="52"/>
      <c r="G20" s="52"/>
      <c r="H20" s="52"/>
      <c r="I20" s="52"/>
      <c r="J20" s="52"/>
    </row>
    <row r="21" spans="1:10">
      <c r="A21" s="54"/>
      <c r="B21" s="52"/>
      <c r="C21" s="54"/>
      <c r="D21" s="54"/>
      <c r="F21" s="54"/>
      <c r="G21" s="54"/>
      <c r="H21" s="54"/>
      <c r="I21" s="54"/>
      <c r="J21" s="52"/>
    </row>
    <row r="22" spans="1:10">
      <c r="A22" s="54" t="s">
        <v>90</v>
      </c>
      <c r="B22" s="65" t="e">
        <f>+B15/B10</f>
        <v>#DIV/0!</v>
      </c>
      <c r="C22" s="54"/>
      <c r="D22" s="66" t="e">
        <f>+D15/D10</f>
        <v>#DIV/0!</v>
      </c>
      <c r="F22" s="67" t="e">
        <f>+F15/F10</f>
        <v>#DIV/0!</v>
      </c>
      <c r="G22" s="68"/>
      <c r="H22" s="67" t="e">
        <f>+H15/H10</f>
        <v>#DIV/0!</v>
      </c>
      <c r="I22" s="68"/>
      <c r="J22" s="66" t="e">
        <f>+J15/J10</f>
        <v>#DIV/0!</v>
      </c>
    </row>
    <row r="23" spans="1:10">
      <c r="A23" s="54" t="s">
        <v>91</v>
      </c>
      <c r="B23" s="65" t="e">
        <f>+B19/B11</f>
        <v>#DIV/0!</v>
      </c>
      <c r="C23" s="54"/>
      <c r="D23" s="66" t="e">
        <f>+D19/D11</f>
        <v>#DIV/0!</v>
      </c>
      <c r="F23" s="67" t="e">
        <f>+F19/F11</f>
        <v>#DIV/0!</v>
      </c>
      <c r="G23" s="68"/>
      <c r="H23" s="67" t="e">
        <f>+H19/H11</f>
        <v>#DIV/0!</v>
      </c>
      <c r="I23" s="68"/>
      <c r="J23" s="66" t="e">
        <f>+J19/J11</f>
        <v>#DIV/0!</v>
      </c>
    </row>
  </sheetData>
  <mergeCells count="1">
    <mergeCell ref="J8:J9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Op. Vinculados Economicos</vt:lpstr>
      <vt:lpstr>Op. Prestamos Vinculados Econom</vt:lpstr>
      <vt:lpstr>Op. Paraisos Fiscales</vt:lpstr>
      <vt:lpstr>Op. Prestamos Paraisos Fiscales</vt:lpstr>
      <vt:lpstr>Encuesta país por país</vt:lpstr>
      <vt:lpstr>Listado Paraisos</vt:lpstr>
      <vt:lpstr>SEGMENTACION OPERACIONES</vt:lpstr>
      <vt:lpstr>'Op. Paraisos Fiscales'!Área_de_impresión</vt:lpstr>
      <vt:lpstr>'Op. Vinculados Economicos'!Área_de_impresión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Thornton  Ulloa Garzón</dc:creator>
  <cp:lastModifiedBy>Cindy Gomez</cp:lastModifiedBy>
  <cp:lastPrinted>2010-02-17T15:19:19Z</cp:lastPrinted>
  <dcterms:created xsi:type="dcterms:W3CDTF">2006-05-16T00:02:35Z</dcterms:created>
  <dcterms:modified xsi:type="dcterms:W3CDTF">2026-07-21T16:11:42Z</dcterms:modified>
</cp:coreProperties>
</file>